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ricket Analysis\Portfolio and Practice\Toss Impact Analysis\Data\"/>
    </mc:Choice>
  </mc:AlternateContent>
  <xr:revisionPtr revIDLastSave="0" documentId="13_ncr:1_{17CA3E4A-8B2C-4097-9564-11C408C1E3CF}" xr6:coauthVersionLast="47" xr6:coauthVersionMax="47" xr10:uidLastSave="{00000000-0000-0000-0000-000000000000}"/>
  <bookViews>
    <workbookView xWindow="-108" yWindow="-108" windowWidth="23256" windowHeight="12456" activeTab="1" xr2:uid="{ED1BE482-BA26-4665-B3C9-6B8264520A77}"/>
  </bookViews>
  <sheets>
    <sheet name="matches - 2025" sheetId="1" r:id="rId1"/>
    <sheet name="Matches" sheetId="3" r:id="rId2"/>
    <sheet name="Ground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3" l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</calcChain>
</file>

<file path=xl/sharedStrings.xml><?xml version="1.0" encoding="utf-8"?>
<sst xmlns="http://schemas.openxmlformats.org/spreadsheetml/2006/main" count="1928" uniqueCount="275">
  <si>
    <t>match_id</t>
  </si>
  <si>
    <t>date</t>
  </si>
  <si>
    <t>venue</t>
  </si>
  <si>
    <t>team1</t>
  </si>
  <si>
    <t>team2</t>
  </si>
  <si>
    <t>stage</t>
  </si>
  <si>
    <t>toss_winner</t>
  </si>
  <si>
    <t>toss_decision</t>
  </si>
  <si>
    <t>first_ings_score</t>
  </si>
  <si>
    <t>first_ings_wkts</t>
  </si>
  <si>
    <t>second_ings_score</t>
  </si>
  <si>
    <t>second_ings_wkts</t>
  </si>
  <si>
    <t>match_result</t>
  </si>
  <si>
    <t>match_winner</t>
  </si>
  <si>
    <t>wb_runs</t>
  </si>
  <si>
    <t>wb_wickets</t>
  </si>
  <si>
    <t>balls_left</t>
  </si>
  <si>
    <t>player_of_the_match</t>
  </si>
  <si>
    <t>top_scorer</t>
  </si>
  <si>
    <t>highscore</t>
  </si>
  <si>
    <t>best_bowling</t>
  </si>
  <si>
    <t>best_bowling_figure</t>
  </si>
  <si>
    <t>March 22,2025</t>
  </si>
  <si>
    <t>KKR</t>
  </si>
  <si>
    <t>RCB</t>
  </si>
  <si>
    <t>League</t>
  </si>
  <si>
    <t>Bowl</t>
  </si>
  <si>
    <t>completed</t>
  </si>
  <si>
    <t>Krunal Pandya</t>
  </si>
  <si>
    <t>Virat Kohli</t>
  </si>
  <si>
    <t>3--29</t>
  </si>
  <si>
    <t>March 23,2025</t>
  </si>
  <si>
    <t>SRH</t>
  </si>
  <si>
    <t>RR</t>
  </si>
  <si>
    <t>Ishan Kishan</t>
  </si>
  <si>
    <t>Tushar Deshpande</t>
  </si>
  <si>
    <t>3--44</t>
  </si>
  <si>
    <t>CSK</t>
  </si>
  <si>
    <t>MI</t>
  </si>
  <si>
    <t>Noor Ahmad</t>
  </si>
  <si>
    <t>Rachin Ravindra</t>
  </si>
  <si>
    <t>4--18</t>
  </si>
  <si>
    <t>March 24,2025</t>
  </si>
  <si>
    <t>DC</t>
  </si>
  <si>
    <t>LSG</t>
  </si>
  <si>
    <t>Ashutosh Sharma</t>
  </si>
  <si>
    <t>Nicholas Pooran</t>
  </si>
  <si>
    <t>Mitchell Starc</t>
  </si>
  <si>
    <t>3--42</t>
  </si>
  <si>
    <t>March 25,2025</t>
  </si>
  <si>
    <t>GT</t>
  </si>
  <si>
    <t>PBKS</t>
  </si>
  <si>
    <t>Shreyas Iyer</t>
  </si>
  <si>
    <t>Sai Kishore</t>
  </si>
  <si>
    <t>3--30</t>
  </si>
  <si>
    <t>March 26,2025</t>
  </si>
  <si>
    <t>Quinton de Kock</t>
  </si>
  <si>
    <t>Varun Chakravarthy</t>
  </si>
  <si>
    <t>2--17</t>
  </si>
  <si>
    <t>March 27,2025</t>
  </si>
  <si>
    <t>Shardul Thakur</t>
  </si>
  <si>
    <t>4--34</t>
  </si>
  <si>
    <t>March 28,2025</t>
  </si>
  <si>
    <t>Rajat Patidar</t>
  </si>
  <si>
    <t>Josh Hazlewood</t>
  </si>
  <si>
    <t>3--21</t>
  </si>
  <si>
    <t>March 29,2025</t>
  </si>
  <si>
    <t>Prasidh Krishna</t>
  </si>
  <si>
    <t>Sai Sudarshan</t>
  </si>
  <si>
    <t>2--18</t>
  </si>
  <si>
    <t>March 30,2025</t>
  </si>
  <si>
    <t>Bat</t>
  </si>
  <si>
    <t>Aniket Verma</t>
  </si>
  <si>
    <t>5--35</t>
  </si>
  <si>
    <t>Nitish Rana</t>
  </si>
  <si>
    <t>Wanindu Hasranga</t>
  </si>
  <si>
    <t>4--35</t>
  </si>
  <si>
    <t>March 31,2025</t>
  </si>
  <si>
    <t>Ashwani Kumar</t>
  </si>
  <si>
    <t>Ryan Rickelton</t>
  </si>
  <si>
    <t>4--24</t>
  </si>
  <si>
    <t>April 01,2025</t>
  </si>
  <si>
    <t>Prabhsimran Singh</t>
  </si>
  <si>
    <t>Arshdeep Singh</t>
  </si>
  <si>
    <t>3--43</t>
  </si>
  <si>
    <t>April 02,2025</t>
  </si>
  <si>
    <t>Mohammed Siraj</t>
  </si>
  <si>
    <t>Jos Buttler</t>
  </si>
  <si>
    <t>3--19</t>
  </si>
  <si>
    <t>April 03,2025</t>
  </si>
  <si>
    <t>Vaibhav Arora</t>
  </si>
  <si>
    <t>Venkatesh Iyer</t>
  </si>
  <si>
    <t>3--22</t>
  </si>
  <si>
    <t>April 04,2025</t>
  </si>
  <si>
    <t>Digvesh Singh</t>
  </si>
  <si>
    <t>Suryakumar Yadav</t>
  </si>
  <si>
    <t>Hardik Pandya</t>
  </si>
  <si>
    <t>5--36</t>
  </si>
  <si>
    <t>April 05,2025</t>
  </si>
  <si>
    <t>KL Rahul</t>
  </si>
  <si>
    <t>Khaleel Ahmed</t>
  </si>
  <si>
    <t>2--25</t>
  </si>
  <si>
    <t>Jofra Archer</t>
  </si>
  <si>
    <t>Yashasvi Jaiswal</t>
  </si>
  <si>
    <t>3--25</t>
  </si>
  <si>
    <t>April 06,2025</t>
  </si>
  <si>
    <t>Shubman Gill</t>
  </si>
  <si>
    <t>4--17</t>
  </si>
  <si>
    <t>April 07,2025</t>
  </si>
  <si>
    <t>4--45</t>
  </si>
  <si>
    <t>April 08,2025</t>
  </si>
  <si>
    <t>Harshit Rana</t>
  </si>
  <si>
    <t>2--51</t>
  </si>
  <si>
    <t>Priyansh Arya</t>
  </si>
  <si>
    <t>Lockie Ferguson</t>
  </si>
  <si>
    <t>2--40</t>
  </si>
  <si>
    <t>April 09,2025</t>
  </si>
  <si>
    <t>3--24</t>
  </si>
  <si>
    <t>April 10,2025</t>
  </si>
  <si>
    <t>Kuldeep Yadav</t>
  </si>
  <si>
    <t>April 11,2025</t>
  </si>
  <si>
    <t>Sunil Narine</t>
  </si>
  <si>
    <t>3--13</t>
  </si>
  <si>
    <t>April 12,2025</t>
  </si>
  <si>
    <t>Aiden Markram</t>
  </si>
  <si>
    <t>2--26</t>
  </si>
  <si>
    <t>Abhishek Sharma</t>
  </si>
  <si>
    <t>Harshal Patel</t>
  </si>
  <si>
    <t>4--42</t>
  </si>
  <si>
    <t>April 13,2025</t>
  </si>
  <si>
    <t>Phil Salt</t>
  </si>
  <si>
    <t>1--29</t>
  </si>
  <si>
    <t>Karn Sharma</t>
  </si>
  <si>
    <t>Karun Nair</t>
  </si>
  <si>
    <t>3--36</t>
  </si>
  <si>
    <t>April 14,2025</t>
  </si>
  <si>
    <t>MS Dhoni</t>
  </si>
  <si>
    <t>Rishabh Pant</t>
  </si>
  <si>
    <t>Ravi Bishnoi</t>
  </si>
  <si>
    <t>April 15,2025</t>
  </si>
  <si>
    <t>Yuzvendra Chahal</t>
  </si>
  <si>
    <t>Angkrish Raghuvanshi</t>
  </si>
  <si>
    <t>4--28</t>
  </si>
  <si>
    <t>April 16,2025</t>
  </si>
  <si>
    <t>super over</t>
  </si>
  <si>
    <t>2--32</t>
  </si>
  <si>
    <t>April 17,2025</t>
  </si>
  <si>
    <t>Will Jacks</t>
  </si>
  <si>
    <t>Pat Cummins</t>
  </si>
  <si>
    <t>April 18,2025</t>
  </si>
  <si>
    <t>Tim David</t>
  </si>
  <si>
    <t>3--14</t>
  </si>
  <si>
    <t>April 19,2025</t>
  </si>
  <si>
    <t>4--41</t>
  </si>
  <si>
    <t>Avesh Khan</t>
  </si>
  <si>
    <t>3--37</t>
  </si>
  <si>
    <t>April 20,2025</t>
  </si>
  <si>
    <t>Rohit Sharma</t>
  </si>
  <si>
    <t>Jasprit Bumrah</t>
  </si>
  <si>
    <t>April 21,2025</t>
  </si>
  <si>
    <t>April 22,2025</t>
  </si>
  <si>
    <t>Mukesh Kumar</t>
  </si>
  <si>
    <t>4--33</t>
  </si>
  <si>
    <t>April 23,2025</t>
  </si>
  <si>
    <t>Trent Boult</t>
  </si>
  <si>
    <t>Heinrich Klassen</t>
  </si>
  <si>
    <t>4--26</t>
  </si>
  <si>
    <t>April 24,2025</t>
  </si>
  <si>
    <t>April 25,2025</t>
  </si>
  <si>
    <t>April 27,2025</t>
  </si>
  <si>
    <t>4--22</t>
  </si>
  <si>
    <t>Bhuvneshwar Kumar</t>
  </si>
  <si>
    <t>3--33</t>
  </si>
  <si>
    <t>April 28,2025</t>
  </si>
  <si>
    <t>Vaibhav Suryavanshi</t>
  </si>
  <si>
    <t>Maheesh Theekshana</t>
  </si>
  <si>
    <t>2--35</t>
  </si>
  <si>
    <t>April 29,2025</t>
  </si>
  <si>
    <t>Faf du Plessis</t>
  </si>
  <si>
    <t>April 30,2025</t>
  </si>
  <si>
    <t>Sam Curran</t>
  </si>
  <si>
    <t>4--32</t>
  </si>
  <si>
    <t>May 1,2025</t>
  </si>
  <si>
    <t>3--23</t>
  </si>
  <si>
    <t>May 2,2025</t>
  </si>
  <si>
    <t>Jaydev Unadkat</t>
  </si>
  <si>
    <t>3--35</t>
  </si>
  <si>
    <t>May 3,2025</t>
  </si>
  <si>
    <t>Romario Shepherd</t>
  </si>
  <si>
    <t>Ayush Mhatre</t>
  </si>
  <si>
    <t>Lungi Ngidi</t>
  </si>
  <si>
    <t>May 4,2025</t>
  </si>
  <si>
    <t>Andre Russell</t>
  </si>
  <si>
    <t>Riyan Parag</t>
  </si>
  <si>
    <t>3--16</t>
  </si>
  <si>
    <t>May 6,2025</t>
  </si>
  <si>
    <t>2--19</t>
  </si>
  <si>
    <t>May 7,2025</t>
  </si>
  <si>
    <t>Dewald Brevis</t>
  </si>
  <si>
    <t>4--31</t>
  </si>
  <si>
    <t>May 18,2025</t>
  </si>
  <si>
    <t>Harpreet Brar</t>
  </si>
  <si>
    <t>Nehal Wadhera</t>
  </si>
  <si>
    <t>Arshad Khan</t>
  </si>
  <si>
    <t>1--7</t>
  </si>
  <si>
    <t>May 19,2025</t>
  </si>
  <si>
    <t>Mitchell Marsh</t>
  </si>
  <si>
    <t>Eshan Malinga</t>
  </si>
  <si>
    <t>2--28</t>
  </si>
  <si>
    <t>May 20,2025</t>
  </si>
  <si>
    <t>Akash Madhwal</t>
  </si>
  <si>
    <t>May 21,2025</t>
  </si>
  <si>
    <t>Mitchell Santner</t>
  </si>
  <si>
    <t>3--11</t>
  </si>
  <si>
    <t>May 22,2025</t>
  </si>
  <si>
    <t>Will O'Rourke</t>
  </si>
  <si>
    <t>3--27</t>
  </si>
  <si>
    <t>May 23,2025</t>
  </si>
  <si>
    <t>3--28</t>
  </si>
  <si>
    <t>May 24,2025</t>
  </si>
  <si>
    <t>Sameer Rizvi</t>
  </si>
  <si>
    <t>Mustafizur Rahman</t>
  </si>
  <si>
    <t>May 25,2025</t>
  </si>
  <si>
    <t>May 26,2025</t>
  </si>
  <si>
    <t>Josh Inglis</t>
  </si>
  <si>
    <t>May 27,2025</t>
  </si>
  <si>
    <t>Jitesh Sharma</t>
  </si>
  <si>
    <t>2--74</t>
  </si>
  <si>
    <t>May 29,2025</t>
  </si>
  <si>
    <t>Playoffs</t>
  </si>
  <si>
    <t>Suyash Sharma</t>
  </si>
  <si>
    <t>3--17</t>
  </si>
  <si>
    <t>May 30,2025</t>
  </si>
  <si>
    <t>2--42</t>
  </si>
  <si>
    <t>June 1,2025</t>
  </si>
  <si>
    <t>Azmatullah Omarzai</t>
  </si>
  <si>
    <t>2--43</t>
  </si>
  <si>
    <t>June 3,2025</t>
  </si>
  <si>
    <t>Final</t>
  </si>
  <si>
    <t>Shashank Singh</t>
  </si>
  <si>
    <t>3--40</t>
  </si>
  <si>
    <t>S.No</t>
  </si>
  <si>
    <t xml:space="preserve">Ground Name </t>
  </si>
  <si>
    <t>City</t>
  </si>
  <si>
    <t>ACA-VDCA Cricket Stadium</t>
  </si>
  <si>
    <t>Vishakhapatnam</t>
  </si>
  <si>
    <t>Delhi</t>
  </si>
  <si>
    <t>Arun Jaitley Stadium</t>
  </si>
  <si>
    <t>Guwahati</t>
  </si>
  <si>
    <t>Barsapara Stadium</t>
  </si>
  <si>
    <t>Eden Gardens</t>
  </si>
  <si>
    <t>Kolkata</t>
  </si>
  <si>
    <t>Ekana Cricket Stadium</t>
  </si>
  <si>
    <t>Lucknow</t>
  </si>
  <si>
    <t>HPCA Stadium</t>
  </si>
  <si>
    <t>Dharamshala</t>
  </si>
  <si>
    <t>M. Chinnaswamy Stadium</t>
  </si>
  <si>
    <t>Bangalore</t>
  </si>
  <si>
    <t>MA Chidambaram Stadium</t>
  </si>
  <si>
    <t>Chennai</t>
  </si>
  <si>
    <t xml:space="preserve"> Narendra Modi Stadium</t>
  </si>
  <si>
    <t>Ahmedabad</t>
  </si>
  <si>
    <t>New PCA Cricket Stadium</t>
  </si>
  <si>
    <t>Mullanpur</t>
  </si>
  <si>
    <t>Rajiv Gandhi International Stadium</t>
  </si>
  <si>
    <t>Hyderabad</t>
  </si>
  <si>
    <t>Sawai Mansingh Stadium</t>
  </si>
  <si>
    <t>Jaipur</t>
  </si>
  <si>
    <t>Wankhede Stadium</t>
  </si>
  <si>
    <t>Mumbai</t>
  </si>
  <si>
    <t>toss_win_match_win</t>
  </si>
  <si>
    <t>toss_outcome</t>
  </si>
  <si>
    <t>decision_type</t>
  </si>
  <si>
    <t>match_result_type</t>
  </si>
  <si>
    <t>toss_advantage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</si>
</sst>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63B95-1C46-4D8E-9593-ABB7BFB16AA9}" name="Table1" displayName="Table1" ref="A1:V72" totalsRowShown="0">
  <autoFilter ref="A1:V72" xr:uid="{D1963B95-1C46-4D8E-9593-ABB7BFB16AA9}"/>
  <tableColumns count="22">
    <tableColumn id="1" xr3:uid="{A2598D8A-684A-484E-8EBB-54214ABA9EAB}" name="match_id"/>
    <tableColumn id="2" xr3:uid="{97B801A5-A592-4F8C-BCFD-75F8972EAD31}" name="date"/>
    <tableColumn id="3" xr3:uid="{E658E69C-354B-4473-B45B-5EBB71336646}" name="venue"/>
    <tableColumn id="4" xr3:uid="{26360B26-DA83-44A9-B6FF-9BF9FF6749A9}" name="team1"/>
    <tableColumn id="5" xr3:uid="{4F3D9782-1767-46BD-B612-E8EDE36A225B}" name="team2"/>
    <tableColumn id="6" xr3:uid="{D320F77E-8A39-4002-AB6B-729B5959E048}" name="stage"/>
    <tableColumn id="7" xr3:uid="{FF79BB15-523B-4FF3-BA11-C853D82B7D3C}" name="toss_winner"/>
    <tableColumn id="8" xr3:uid="{C9CFB6CA-8D28-492E-B17D-2944D176F35F}" name="toss_decision"/>
    <tableColumn id="9" xr3:uid="{0E189178-E881-41A8-85C4-7F9DE618C389}" name="first_ings_score"/>
    <tableColumn id="10" xr3:uid="{3CD20541-E530-483E-8DCE-C75A80B7B3BF}" name="first_ings_wkts"/>
    <tableColumn id="11" xr3:uid="{BB32E9D1-8F41-4067-B829-63E2AF43E109}" name="second_ings_score"/>
    <tableColumn id="12" xr3:uid="{5392B2E4-32C0-4A97-B70A-65E1CE846D1E}" name="second_ings_wkts"/>
    <tableColumn id="13" xr3:uid="{C087F247-3AA5-4253-AB21-2BC031445CDD}" name="match_result"/>
    <tableColumn id="14" xr3:uid="{E15DF812-1081-4378-97C6-80AA1ECE5199}" name="match_winner"/>
    <tableColumn id="15" xr3:uid="{ED8CEA1E-DBB4-4084-8684-D90CA9BC9A0E}" name="wb_runs"/>
    <tableColumn id="16" xr3:uid="{547DA0C5-C385-490B-9441-FEEC16D763C1}" name="wb_wickets"/>
    <tableColumn id="17" xr3:uid="{EEF266FC-6073-4D0C-B598-08CE58B6692D}" name="balls_left"/>
    <tableColumn id="18" xr3:uid="{789F1A14-110B-4E8A-9F33-7761DC9318FD}" name="player_of_the_match"/>
    <tableColumn id="19" xr3:uid="{9854BAEF-4AFC-48D4-8884-DE74B96A0162}" name="top_scorer"/>
    <tableColumn id="20" xr3:uid="{08B9B90A-CD3E-4DE2-8E66-23ED8F8B0B6F}" name="highscore"/>
    <tableColumn id="21" xr3:uid="{E7DC1CE7-16C9-4131-98C6-EA68BB2C49B6}" name="best_bowling"/>
    <tableColumn id="22" xr3:uid="{93059C20-1603-4422-96B0-A29828B36755}" name="best_bowling_fig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B7729-0B7D-4D22-B168-283C833C888F}" name="Table13" displayName="Table13" ref="A1:AA72" totalsRowShown="0">
  <autoFilter ref="A1:AA72" xr:uid="{AC9B7729-0B7D-4D22-B168-283C833C888F}"/>
  <tableColumns count="27">
    <tableColumn id="1" xr3:uid="{849D22CE-C6D6-4866-A1C8-BDC850FC900D}" name="match_id"/>
    <tableColumn id="2" xr3:uid="{0EAE4A00-FEB6-4A4C-90B3-D39829F5A679}" name="date"/>
    <tableColumn id="3" xr3:uid="{45D31CBB-4517-4C93-8E8B-D982F09BF322}" name="venue"/>
    <tableColumn id="4" xr3:uid="{59068FAA-F00A-4A46-ADEC-1C503022E2C0}" name="team1"/>
    <tableColumn id="5" xr3:uid="{ADDCC81E-A36B-48CB-B0BC-C69CA20E5F68}" name="team2"/>
    <tableColumn id="6" xr3:uid="{CD327066-4AC1-4F78-AAA3-FF7FFC489EB0}" name="stage"/>
    <tableColumn id="7" xr3:uid="{FF7EEEA9-6DE3-4906-A671-70C07D747347}" name="toss_winner"/>
    <tableColumn id="8" xr3:uid="{D0EE06DF-C27E-42BD-8ECC-DFACD9F1FAFB}" name="toss_decision"/>
    <tableColumn id="9" xr3:uid="{68E6CC58-92E9-485F-A10B-1036013E749C}" name="first_ings_score"/>
    <tableColumn id="10" xr3:uid="{1275D1E4-C37C-4A1B-A4B0-67B8AD9C7E7B}" name="first_ings_wkts"/>
    <tableColumn id="11" xr3:uid="{6C8B55FF-C3EC-4F6F-A330-4211FFA67DD6}" name="second_ings_score"/>
    <tableColumn id="12" xr3:uid="{8C971D0D-CC71-4C41-A290-FAD01A01D1AE}" name="second_ings_wkts"/>
    <tableColumn id="13" xr3:uid="{4B3FA44B-898B-49BD-8C84-A0DC16C50112}" name="match_result"/>
    <tableColumn id="14" xr3:uid="{0ECB66D6-3CC3-46D7-BEF7-B4D06B81565A}" name="match_winner"/>
    <tableColumn id="15" xr3:uid="{F19FCD2C-9A4A-4C8C-A64A-E83D997BF7A4}" name="wb_runs"/>
    <tableColumn id="16" xr3:uid="{38C4E9B9-FEA7-48F3-BAE8-9DB9BD411876}" name="wb_wickets"/>
    <tableColumn id="17" xr3:uid="{5AA4612D-9FE9-44C4-A8F1-2B77294FFFCF}" name="balls_left"/>
    <tableColumn id="18" xr3:uid="{6327E0B5-C4F6-470D-90A6-99E1CEFE6A55}" name="player_of_the_match"/>
    <tableColumn id="19" xr3:uid="{F852C801-7993-4ACC-A8B9-236F0F42548D}" name="top_scorer"/>
    <tableColumn id="20" xr3:uid="{6CA5DA7B-33E1-4A6C-9498-B1818B1B8F47}" name="highscore"/>
    <tableColumn id="21" xr3:uid="{7546B4DC-A9BD-41E7-8C10-85F8013792F5}" name="best_bowling"/>
    <tableColumn id="22" xr3:uid="{25789020-F388-4FE3-BD14-499961A102C7}" name="best_bowling_figure"/>
    <tableColumn id="23" xr3:uid="{0ABF996D-6F1F-43A4-B172-014A82086092}" name="toss_win_match_win" dataDxfId="4">
      <calculatedColumnFormula>IF(Table13[[#This Row],[toss_winner]]=Table13[[#This Row],[match_winner]],1,0)</calculatedColumnFormula>
    </tableColumn>
    <tableColumn id="24" xr3:uid="{01D691DA-7E9A-4A48-B80E-9643E4910DD8}" name="toss_outcome" dataDxfId="3">
      <calculatedColumnFormula>IF(Table13[[#This Row],[toss_winner]]=Table13[[#This Row],[match_winner]],"Toss Winner Won","Toss Winner Lost")</calculatedColumnFormula>
    </tableColumn>
    <tableColumn id="25" xr3:uid="{CDF75210-0379-4A03-B17B-9578B40B7B3B}" name="decision_type" dataDxfId="2">
      <calculatedColumnFormula>IF(Table13[[#This Row],[toss_decision]]="Bat","Bat First","Bowl First")</calculatedColumnFormula>
    </tableColumn>
    <tableColumn id="26" xr3:uid="{2FB829B3-16AA-4594-B57D-1B89146125E5}" name="match_result_type" dataDxfId="1">
      <calculatedColumnFormula>IF(Table13[[#This Row],[match_winner]]=Table13[[#This Row],[team1]],"Team1 Win","Team2 Win")</calculatedColumnFormula>
    </tableColumn>
    <tableColumn id="27" xr3:uid="{ED22776D-0D36-45B3-9A6B-EB81D1C43638}" name="toss_advantage" dataDxfId="0">
      <calculatedColumnFormula>IF(Table13[[#This Row],[toss_winner]]=Table13[[#This Row],[match_winner]],Table13[[#This Row],[venue]],"No Advantage")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E6C4-D726-44D9-BB90-A6EFBA9B70D0}">
  <dimension ref="A1:V72"/>
  <sheetViews>
    <sheetView topLeftCell="J48" workbookViewId="0">
      <selection sqref="A1:V72"/>
    </sheetView>
  </sheetViews>
  <sheetFormatPr defaultRowHeight="14.4" x14ac:dyDescent="0.3"/>
  <cols>
    <col min="1" max="1" width="10.6640625" customWidth="1"/>
    <col min="2" max="2" width="13.109375" bestFit="1" customWidth="1"/>
    <col min="3" max="3" width="38.6640625" bestFit="1" customWidth="1"/>
    <col min="4" max="5" width="8.21875" customWidth="1"/>
    <col min="6" max="6" width="7.33203125" bestFit="1" customWidth="1"/>
    <col min="7" max="7" width="12.6640625" customWidth="1"/>
    <col min="8" max="8" width="14.21875" customWidth="1"/>
    <col min="9" max="9" width="15.6640625" customWidth="1"/>
    <col min="10" max="10" width="15" customWidth="1"/>
    <col min="11" max="11" width="18.33203125" customWidth="1"/>
    <col min="12" max="12" width="17.6640625" customWidth="1"/>
    <col min="13" max="13" width="13.77734375" customWidth="1"/>
    <col min="14" max="14" width="14.5546875" customWidth="1"/>
    <col min="15" max="15" width="9.6640625" customWidth="1"/>
    <col min="16" max="16" width="12.5546875" customWidth="1"/>
    <col min="17" max="17" width="10.5546875" customWidth="1"/>
    <col min="18" max="18" width="20" customWidth="1"/>
    <col min="19" max="19" width="18.5546875" bestFit="1" customWidth="1"/>
    <col min="20" max="20" width="10.88671875" customWidth="1"/>
    <col min="21" max="21" width="18.5546875" bestFit="1" customWidth="1"/>
    <col min="22" max="22" width="19.2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t="s">
        <v>251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>
        <v>174</v>
      </c>
      <c r="J2">
        <v>8</v>
      </c>
      <c r="K2">
        <v>177</v>
      </c>
      <c r="L2">
        <v>3</v>
      </c>
      <c r="M2" t="s">
        <v>27</v>
      </c>
      <c r="N2" t="s">
        <v>24</v>
      </c>
      <c r="P2">
        <v>7</v>
      </c>
      <c r="Q2">
        <v>22</v>
      </c>
      <c r="R2" t="s">
        <v>28</v>
      </c>
      <c r="S2" t="s">
        <v>29</v>
      </c>
      <c r="T2">
        <v>59</v>
      </c>
      <c r="U2" t="s">
        <v>28</v>
      </c>
      <c r="V2" t="s">
        <v>30</v>
      </c>
    </row>
    <row r="3" spans="1:22" x14ac:dyDescent="0.3">
      <c r="A3">
        <v>2</v>
      </c>
      <c r="B3" t="s">
        <v>31</v>
      </c>
      <c r="C3" t="s">
        <v>263</v>
      </c>
      <c r="D3" t="s">
        <v>32</v>
      </c>
      <c r="E3" t="s">
        <v>33</v>
      </c>
      <c r="F3" t="s">
        <v>25</v>
      </c>
      <c r="G3" t="s">
        <v>33</v>
      </c>
      <c r="H3" t="s">
        <v>26</v>
      </c>
      <c r="I3">
        <v>286</v>
      </c>
      <c r="J3">
        <v>6</v>
      </c>
      <c r="K3">
        <v>242</v>
      </c>
      <c r="L3">
        <v>6</v>
      </c>
      <c r="M3" t="s">
        <v>27</v>
      </c>
      <c r="N3" t="s">
        <v>32</v>
      </c>
      <c r="O3">
        <v>44</v>
      </c>
      <c r="Q3">
        <v>0</v>
      </c>
      <c r="R3" t="s">
        <v>34</v>
      </c>
      <c r="S3" t="s">
        <v>34</v>
      </c>
      <c r="T3">
        <v>106</v>
      </c>
      <c r="U3" t="s">
        <v>35</v>
      </c>
      <c r="V3" t="s">
        <v>36</v>
      </c>
    </row>
    <row r="4" spans="1:22" x14ac:dyDescent="0.3">
      <c r="A4">
        <v>3</v>
      </c>
      <c r="B4" t="s">
        <v>31</v>
      </c>
      <c r="C4" t="s">
        <v>259</v>
      </c>
      <c r="D4" t="s">
        <v>37</v>
      </c>
      <c r="E4" t="s">
        <v>38</v>
      </c>
      <c r="F4" t="s">
        <v>25</v>
      </c>
      <c r="G4" t="s">
        <v>37</v>
      </c>
      <c r="H4" t="s">
        <v>26</v>
      </c>
      <c r="I4">
        <v>155</v>
      </c>
      <c r="J4">
        <v>9</v>
      </c>
      <c r="K4">
        <v>158</v>
      </c>
      <c r="L4">
        <v>6</v>
      </c>
      <c r="M4" t="s">
        <v>27</v>
      </c>
      <c r="N4" t="s">
        <v>37</v>
      </c>
      <c r="P4">
        <v>4</v>
      </c>
      <c r="Q4">
        <v>5</v>
      </c>
      <c r="R4" t="s">
        <v>39</v>
      </c>
      <c r="S4" t="s">
        <v>40</v>
      </c>
      <c r="T4">
        <v>65</v>
      </c>
      <c r="U4" t="s">
        <v>39</v>
      </c>
      <c r="V4" t="s">
        <v>41</v>
      </c>
    </row>
    <row r="5" spans="1:22" x14ac:dyDescent="0.3">
      <c r="A5">
        <v>4</v>
      </c>
      <c r="B5" t="s">
        <v>42</v>
      </c>
      <c r="C5" t="s">
        <v>245</v>
      </c>
      <c r="D5" t="s">
        <v>43</v>
      </c>
      <c r="E5" t="s">
        <v>44</v>
      </c>
      <c r="F5" t="s">
        <v>25</v>
      </c>
      <c r="G5" t="s">
        <v>43</v>
      </c>
      <c r="H5" t="s">
        <v>26</v>
      </c>
      <c r="I5">
        <v>209</v>
      </c>
      <c r="J5">
        <v>8</v>
      </c>
      <c r="K5">
        <v>211</v>
      </c>
      <c r="L5">
        <v>9</v>
      </c>
      <c r="M5" t="s">
        <v>27</v>
      </c>
      <c r="N5" t="s">
        <v>43</v>
      </c>
      <c r="P5">
        <v>1</v>
      </c>
      <c r="Q5">
        <v>3</v>
      </c>
      <c r="R5" t="s">
        <v>45</v>
      </c>
      <c r="S5" t="s">
        <v>46</v>
      </c>
      <c r="T5">
        <v>75</v>
      </c>
      <c r="U5" t="s">
        <v>47</v>
      </c>
      <c r="V5" t="s">
        <v>48</v>
      </c>
    </row>
    <row r="6" spans="1:22" x14ac:dyDescent="0.3">
      <c r="A6">
        <v>5</v>
      </c>
      <c r="B6" t="s">
        <v>49</v>
      </c>
      <c r="C6" t="s">
        <v>261</v>
      </c>
      <c r="D6" t="s">
        <v>50</v>
      </c>
      <c r="E6" t="s">
        <v>51</v>
      </c>
      <c r="F6" t="s">
        <v>25</v>
      </c>
      <c r="G6" t="s">
        <v>50</v>
      </c>
      <c r="H6" t="s">
        <v>26</v>
      </c>
      <c r="I6">
        <v>243</v>
      </c>
      <c r="J6">
        <v>5</v>
      </c>
      <c r="K6">
        <v>232</v>
      </c>
      <c r="L6">
        <v>5</v>
      </c>
      <c r="M6" t="s">
        <v>27</v>
      </c>
      <c r="N6" t="s">
        <v>51</v>
      </c>
      <c r="O6">
        <v>11</v>
      </c>
      <c r="Q6">
        <v>0</v>
      </c>
      <c r="R6" t="s">
        <v>52</v>
      </c>
      <c r="S6" t="s">
        <v>52</v>
      </c>
      <c r="T6">
        <v>97</v>
      </c>
      <c r="U6" t="s">
        <v>53</v>
      </c>
      <c r="V6" t="s">
        <v>54</v>
      </c>
    </row>
    <row r="7" spans="1:22" x14ac:dyDescent="0.3">
      <c r="A7">
        <v>6</v>
      </c>
      <c r="B7" t="s">
        <v>55</v>
      </c>
      <c r="C7" t="s">
        <v>248</v>
      </c>
      <c r="D7" t="s">
        <v>33</v>
      </c>
      <c r="E7" t="s">
        <v>23</v>
      </c>
      <c r="F7" t="s">
        <v>25</v>
      </c>
      <c r="G7" t="s">
        <v>23</v>
      </c>
      <c r="H7" t="s">
        <v>26</v>
      </c>
      <c r="I7">
        <v>151</v>
      </c>
      <c r="J7">
        <v>9</v>
      </c>
      <c r="K7">
        <v>153</v>
      </c>
      <c r="L7">
        <v>2</v>
      </c>
      <c r="M7" t="s">
        <v>27</v>
      </c>
      <c r="N7" t="s">
        <v>23</v>
      </c>
      <c r="P7">
        <v>8</v>
      </c>
      <c r="Q7">
        <v>15</v>
      </c>
      <c r="R7" t="s">
        <v>56</v>
      </c>
      <c r="S7" t="s">
        <v>56</v>
      </c>
      <c r="T7">
        <v>97</v>
      </c>
      <c r="U7" t="s">
        <v>57</v>
      </c>
      <c r="V7" t="s">
        <v>58</v>
      </c>
    </row>
    <row r="8" spans="1:22" x14ac:dyDescent="0.3">
      <c r="A8">
        <v>7</v>
      </c>
      <c r="B8" t="s">
        <v>59</v>
      </c>
      <c r="C8" t="s">
        <v>263</v>
      </c>
      <c r="D8" t="s">
        <v>32</v>
      </c>
      <c r="E8" t="s">
        <v>44</v>
      </c>
      <c r="F8" t="s">
        <v>25</v>
      </c>
      <c r="G8" t="s">
        <v>44</v>
      </c>
      <c r="H8" t="s">
        <v>26</v>
      </c>
      <c r="I8">
        <v>190</v>
      </c>
      <c r="J8">
        <v>9</v>
      </c>
      <c r="K8">
        <v>193</v>
      </c>
      <c r="L8">
        <v>5</v>
      </c>
      <c r="M8" t="s">
        <v>27</v>
      </c>
      <c r="N8" t="s">
        <v>44</v>
      </c>
      <c r="P8">
        <v>5</v>
      </c>
      <c r="Q8">
        <v>23</v>
      </c>
      <c r="R8" t="s">
        <v>60</v>
      </c>
      <c r="S8" t="s">
        <v>46</v>
      </c>
      <c r="T8">
        <v>70</v>
      </c>
      <c r="U8" t="s">
        <v>60</v>
      </c>
      <c r="V8" t="s">
        <v>61</v>
      </c>
    </row>
    <row r="9" spans="1:22" x14ac:dyDescent="0.3">
      <c r="A9">
        <v>8</v>
      </c>
      <c r="B9" t="s">
        <v>62</v>
      </c>
      <c r="C9" t="s">
        <v>259</v>
      </c>
      <c r="D9" t="s">
        <v>37</v>
      </c>
      <c r="E9" t="s">
        <v>24</v>
      </c>
      <c r="F9" t="s">
        <v>25</v>
      </c>
      <c r="G9" t="s">
        <v>37</v>
      </c>
      <c r="H9" t="s">
        <v>26</v>
      </c>
      <c r="I9">
        <v>196</v>
      </c>
      <c r="J9">
        <v>7</v>
      </c>
      <c r="K9">
        <v>146</v>
      </c>
      <c r="L9">
        <v>8</v>
      </c>
      <c r="M9" t="s">
        <v>27</v>
      </c>
      <c r="N9" t="s">
        <v>24</v>
      </c>
      <c r="O9">
        <v>50</v>
      </c>
      <c r="Q9">
        <v>0</v>
      </c>
      <c r="R9" t="s">
        <v>63</v>
      </c>
      <c r="S9" t="s">
        <v>63</v>
      </c>
      <c r="T9">
        <v>51</v>
      </c>
      <c r="U9" t="s">
        <v>64</v>
      </c>
      <c r="V9" t="s">
        <v>65</v>
      </c>
    </row>
    <row r="10" spans="1:22" x14ac:dyDescent="0.3">
      <c r="A10">
        <v>9</v>
      </c>
      <c r="B10" t="s">
        <v>66</v>
      </c>
      <c r="C10" t="s">
        <v>261</v>
      </c>
      <c r="D10" t="s">
        <v>50</v>
      </c>
      <c r="E10" t="s">
        <v>38</v>
      </c>
      <c r="F10" t="s">
        <v>25</v>
      </c>
      <c r="G10" t="s">
        <v>38</v>
      </c>
      <c r="H10" t="s">
        <v>26</v>
      </c>
      <c r="I10">
        <v>196</v>
      </c>
      <c r="J10">
        <v>8</v>
      </c>
      <c r="K10">
        <v>160</v>
      </c>
      <c r="L10">
        <v>6</v>
      </c>
      <c r="M10" t="s">
        <v>27</v>
      </c>
      <c r="N10" t="s">
        <v>50</v>
      </c>
      <c r="O10">
        <v>36</v>
      </c>
      <c r="Q10">
        <v>0</v>
      </c>
      <c r="R10" t="s">
        <v>67</v>
      </c>
      <c r="S10" t="s">
        <v>68</v>
      </c>
      <c r="T10">
        <v>63</v>
      </c>
      <c r="U10" t="s">
        <v>67</v>
      </c>
      <c r="V10" t="s">
        <v>69</v>
      </c>
    </row>
    <row r="11" spans="1:22" x14ac:dyDescent="0.3">
      <c r="A11">
        <v>10</v>
      </c>
      <c r="B11" t="s">
        <v>70</v>
      </c>
      <c r="C11" t="s">
        <v>245</v>
      </c>
      <c r="D11" t="s">
        <v>43</v>
      </c>
      <c r="E11" t="s">
        <v>32</v>
      </c>
      <c r="F11" t="s">
        <v>25</v>
      </c>
      <c r="G11" t="s">
        <v>32</v>
      </c>
      <c r="H11" t="s">
        <v>71</v>
      </c>
      <c r="I11">
        <v>163</v>
      </c>
      <c r="J11">
        <v>10</v>
      </c>
      <c r="K11">
        <v>166</v>
      </c>
      <c r="L11">
        <v>3</v>
      </c>
      <c r="M11" t="s">
        <v>27</v>
      </c>
      <c r="N11" t="s">
        <v>43</v>
      </c>
      <c r="P11">
        <v>7</v>
      </c>
      <c r="Q11">
        <v>24</v>
      </c>
      <c r="R11" t="s">
        <v>47</v>
      </c>
      <c r="S11" t="s">
        <v>72</v>
      </c>
      <c r="T11">
        <v>74</v>
      </c>
      <c r="U11" t="s">
        <v>47</v>
      </c>
      <c r="V11" t="s">
        <v>73</v>
      </c>
    </row>
    <row r="12" spans="1:22" x14ac:dyDescent="0.3">
      <c r="A12">
        <v>11</v>
      </c>
      <c r="B12" t="s">
        <v>70</v>
      </c>
      <c r="C12" t="s">
        <v>248</v>
      </c>
      <c r="D12" t="s">
        <v>33</v>
      </c>
      <c r="E12" t="s">
        <v>37</v>
      </c>
      <c r="F12" t="s">
        <v>25</v>
      </c>
      <c r="G12" t="s">
        <v>37</v>
      </c>
      <c r="H12" t="s">
        <v>26</v>
      </c>
      <c r="I12">
        <v>182</v>
      </c>
      <c r="J12">
        <v>9</v>
      </c>
      <c r="K12">
        <v>176</v>
      </c>
      <c r="L12">
        <v>6</v>
      </c>
      <c r="M12" t="s">
        <v>27</v>
      </c>
      <c r="N12" t="s">
        <v>33</v>
      </c>
      <c r="O12">
        <v>6</v>
      </c>
      <c r="Q12">
        <v>0</v>
      </c>
      <c r="R12" t="s">
        <v>74</v>
      </c>
      <c r="S12" t="s">
        <v>74</v>
      </c>
      <c r="T12">
        <v>81</v>
      </c>
      <c r="U12" t="s">
        <v>75</v>
      </c>
      <c r="V12" t="s">
        <v>76</v>
      </c>
    </row>
    <row r="13" spans="1:22" x14ac:dyDescent="0.3">
      <c r="A13">
        <v>12</v>
      </c>
      <c r="B13" t="s">
        <v>77</v>
      </c>
      <c r="C13" t="s">
        <v>269</v>
      </c>
      <c r="D13" t="s">
        <v>38</v>
      </c>
      <c r="E13" t="s">
        <v>23</v>
      </c>
      <c r="F13" t="s">
        <v>25</v>
      </c>
      <c r="G13" t="s">
        <v>38</v>
      </c>
      <c r="H13" t="s">
        <v>26</v>
      </c>
      <c r="I13">
        <v>116</v>
      </c>
      <c r="J13">
        <v>10</v>
      </c>
      <c r="K13">
        <v>121</v>
      </c>
      <c r="L13">
        <v>2</v>
      </c>
      <c r="M13" t="s">
        <v>27</v>
      </c>
      <c r="N13" t="s">
        <v>38</v>
      </c>
      <c r="P13">
        <v>8</v>
      </c>
      <c r="Q13">
        <v>43</v>
      </c>
      <c r="R13" t="s">
        <v>78</v>
      </c>
      <c r="S13" t="s">
        <v>79</v>
      </c>
      <c r="T13">
        <v>62</v>
      </c>
      <c r="U13" t="s">
        <v>78</v>
      </c>
      <c r="V13" t="s">
        <v>80</v>
      </c>
    </row>
    <row r="14" spans="1:22" x14ac:dyDescent="0.3">
      <c r="A14">
        <v>13</v>
      </c>
      <c r="B14" t="s">
        <v>81</v>
      </c>
      <c r="C14" t="s">
        <v>253</v>
      </c>
      <c r="D14" t="s">
        <v>44</v>
      </c>
      <c r="E14" t="s">
        <v>51</v>
      </c>
      <c r="F14" t="s">
        <v>25</v>
      </c>
      <c r="G14" t="s">
        <v>51</v>
      </c>
      <c r="H14" t="s">
        <v>26</v>
      </c>
      <c r="I14">
        <v>171</v>
      </c>
      <c r="J14">
        <v>7</v>
      </c>
      <c r="K14">
        <v>177</v>
      </c>
      <c r="L14">
        <v>2</v>
      </c>
      <c r="M14" t="s">
        <v>27</v>
      </c>
      <c r="N14" t="s">
        <v>51</v>
      </c>
      <c r="P14">
        <v>8</v>
      </c>
      <c r="Q14">
        <v>22</v>
      </c>
      <c r="R14" t="s">
        <v>82</v>
      </c>
      <c r="S14" t="s">
        <v>82</v>
      </c>
      <c r="T14">
        <v>69</v>
      </c>
      <c r="U14" t="s">
        <v>83</v>
      </c>
      <c r="V14" t="s">
        <v>84</v>
      </c>
    </row>
    <row r="15" spans="1:22" x14ac:dyDescent="0.3">
      <c r="A15">
        <v>14</v>
      </c>
      <c r="B15" t="s">
        <v>85</v>
      </c>
      <c r="C15" t="s">
        <v>257</v>
      </c>
      <c r="D15" t="s">
        <v>24</v>
      </c>
      <c r="E15" t="s">
        <v>50</v>
      </c>
      <c r="F15" t="s">
        <v>25</v>
      </c>
      <c r="G15" t="s">
        <v>50</v>
      </c>
      <c r="H15" t="s">
        <v>26</v>
      </c>
      <c r="I15">
        <v>169</v>
      </c>
      <c r="J15">
        <v>8</v>
      </c>
      <c r="K15">
        <v>170</v>
      </c>
      <c r="L15">
        <v>2</v>
      </c>
      <c r="M15" t="s">
        <v>27</v>
      </c>
      <c r="N15" t="s">
        <v>50</v>
      </c>
      <c r="P15">
        <v>8</v>
      </c>
      <c r="Q15">
        <v>13</v>
      </c>
      <c r="R15" t="s">
        <v>86</v>
      </c>
      <c r="S15" t="s">
        <v>87</v>
      </c>
      <c r="T15">
        <v>73</v>
      </c>
      <c r="U15" t="s">
        <v>86</v>
      </c>
      <c r="V15" t="s">
        <v>88</v>
      </c>
    </row>
    <row r="16" spans="1:22" x14ac:dyDescent="0.3">
      <c r="A16">
        <v>15</v>
      </c>
      <c r="B16" t="s">
        <v>89</v>
      </c>
      <c r="C16" t="s">
        <v>251</v>
      </c>
      <c r="D16" t="s">
        <v>23</v>
      </c>
      <c r="E16" t="s">
        <v>32</v>
      </c>
      <c r="F16" t="s">
        <v>25</v>
      </c>
      <c r="G16" t="s">
        <v>32</v>
      </c>
      <c r="H16" t="s">
        <v>26</v>
      </c>
      <c r="I16">
        <v>200</v>
      </c>
      <c r="J16">
        <v>6</v>
      </c>
      <c r="K16">
        <v>120</v>
      </c>
      <c r="L16">
        <v>10</v>
      </c>
      <c r="M16" t="s">
        <v>27</v>
      </c>
      <c r="N16" t="s">
        <v>23</v>
      </c>
      <c r="O16">
        <v>80</v>
      </c>
      <c r="Q16">
        <v>20</v>
      </c>
      <c r="R16" t="s">
        <v>90</v>
      </c>
      <c r="S16" t="s">
        <v>91</v>
      </c>
      <c r="T16">
        <v>60</v>
      </c>
      <c r="U16" t="s">
        <v>57</v>
      </c>
      <c r="V16" t="s">
        <v>92</v>
      </c>
    </row>
    <row r="17" spans="1:22" x14ac:dyDescent="0.3">
      <c r="A17">
        <v>16</v>
      </c>
      <c r="B17" t="s">
        <v>93</v>
      </c>
      <c r="C17" t="s">
        <v>253</v>
      </c>
      <c r="D17" t="s">
        <v>44</v>
      </c>
      <c r="E17" t="s">
        <v>38</v>
      </c>
      <c r="F17" t="s">
        <v>25</v>
      </c>
      <c r="G17" t="s">
        <v>38</v>
      </c>
      <c r="H17" t="s">
        <v>26</v>
      </c>
      <c r="I17">
        <v>203</v>
      </c>
      <c r="J17">
        <v>8</v>
      </c>
      <c r="K17">
        <v>191</v>
      </c>
      <c r="L17">
        <v>5</v>
      </c>
      <c r="M17" t="s">
        <v>27</v>
      </c>
      <c r="N17" t="s">
        <v>44</v>
      </c>
      <c r="O17">
        <v>12</v>
      </c>
      <c r="Q17">
        <v>0</v>
      </c>
      <c r="R17" t="s">
        <v>94</v>
      </c>
      <c r="S17" t="s">
        <v>95</v>
      </c>
      <c r="T17">
        <v>67</v>
      </c>
      <c r="U17" t="s">
        <v>96</v>
      </c>
      <c r="V17" t="s">
        <v>97</v>
      </c>
    </row>
    <row r="18" spans="1:22" x14ac:dyDescent="0.3">
      <c r="A18">
        <v>17</v>
      </c>
      <c r="B18" t="s">
        <v>98</v>
      </c>
      <c r="C18" t="s">
        <v>259</v>
      </c>
      <c r="D18" t="s">
        <v>37</v>
      </c>
      <c r="E18" t="s">
        <v>43</v>
      </c>
      <c r="F18" t="s">
        <v>25</v>
      </c>
      <c r="G18" t="s">
        <v>43</v>
      </c>
      <c r="H18" t="s">
        <v>71</v>
      </c>
      <c r="I18">
        <v>183</v>
      </c>
      <c r="J18">
        <v>6</v>
      </c>
      <c r="K18">
        <v>158</v>
      </c>
      <c r="L18">
        <v>5</v>
      </c>
      <c r="M18" t="s">
        <v>27</v>
      </c>
      <c r="N18" t="s">
        <v>43</v>
      </c>
      <c r="O18">
        <v>25</v>
      </c>
      <c r="Q18">
        <v>0</v>
      </c>
      <c r="R18" t="s">
        <v>99</v>
      </c>
      <c r="S18" t="s">
        <v>99</v>
      </c>
      <c r="T18">
        <v>77</v>
      </c>
      <c r="U18" t="s">
        <v>100</v>
      </c>
      <c r="V18" t="s">
        <v>101</v>
      </c>
    </row>
    <row r="19" spans="1:22" x14ac:dyDescent="0.3">
      <c r="A19">
        <v>18</v>
      </c>
      <c r="B19" t="s">
        <v>98</v>
      </c>
      <c r="C19" t="s">
        <v>263</v>
      </c>
      <c r="D19" t="s">
        <v>51</v>
      </c>
      <c r="E19" t="s">
        <v>33</v>
      </c>
      <c r="F19" t="s">
        <v>25</v>
      </c>
      <c r="G19" t="s">
        <v>51</v>
      </c>
      <c r="H19" t="s">
        <v>26</v>
      </c>
      <c r="I19">
        <v>205</v>
      </c>
      <c r="J19">
        <v>4</v>
      </c>
      <c r="K19">
        <v>155</v>
      </c>
      <c r="L19">
        <v>9</v>
      </c>
      <c r="M19" t="s">
        <v>27</v>
      </c>
      <c r="N19" t="s">
        <v>33</v>
      </c>
      <c r="O19">
        <v>50</v>
      </c>
      <c r="Q19">
        <v>0</v>
      </c>
      <c r="R19" t="s">
        <v>102</v>
      </c>
      <c r="S19" t="s">
        <v>103</v>
      </c>
      <c r="T19">
        <v>67</v>
      </c>
      <c r="U19" t="s">
        <v>102</v>
      </c>
      <c r="V19" t="s">
        <v>104</v>
      </c>
    </row>
    <row r="20" spans="1:22" x14ac:dyDescent="0.3">
      <c r="A20">
        <v>19</v>
      </c>
      <c r="B20" t="s">
        <v>105</v>
      </c>
      <c r="C20" t="s">
        <v>263</v>
      </c>
      <c r="D20" t="s">
        <v>32</v>
      </c>
      <c r="E20" t="s">
        <v>50</v>
      </c>
      <c r="F20" t="s">
        <v>25</v>
      </c>
      <c r="G20" t="s">
        <v>50</v>
      </c>
      <c r="H20" t="s">
        <v>26</v>
      </c>
      <c r="I20">
        <v>152</v>
      </c>
      <c r="J20">
        <v>8</v>
      </c>
      <c r="K20">
        <v>153</v>
      </c>
      <c r="L20">
        <v>3</v>
      </c>
      <c r="M20" t="s">
        <v>27</v>
      </c>
      <c r="N20" t="s">
        <v>50</v>
      </c>
      <c r="P20">
        <v>7</v>
      </c>
      <c r="Q20">
        <v>20</v>
      </c>
      <c r="R20" t="s">
        <v>86</v>
      </c>
      <c r="S20" t="s">
        <v>106</v>
      </c>
      <c r="T20">
        <v>61</v>
      </c>
      <c r="U20" t="s">
        <v>86</v>
      </c>
      <c r="V20" t="s">
        <v>107</v>
      </c>
    </row>
    <row r="21" spans="1:22" x14ac:dyDescent="0.3">
      <c r="A21">
        <v>20</v>
      </c>
      <c r="B21" t="s">
        <v>108</v>
      </c>
      <c r="C21" t="s">
        <v>269</v>
      </c>
      <c r="D21" t="s">
        <v>38</v>
      </c>
      <c r="E21" t="s">
        <v>24</v>
      </c>
      <c r="F21" t="s">
        <v>25</v>
      </c>
      <c r="G21" t="s">
        <v>38</v>
      </c>
      <c r="H21" t="s">
        <v>26</v>
      </c>
      <c r="I21">
        <v>221</v>
      </c>
      <c r="J21">
        <v>5</v>
      </c>
      <c r="K21">
        <v>209</v>
      </c>
      <c r="L21">
        <v>9</v>
      </c>
      <c r="M21" t="s">
        <v>27</v>
      </c>
      <c r="N21" t="s">
        <v>24</v>
      </c>
      <c r="O21">
        <v>12</v>
      </c>
      <c r="Q21">
        <v>0</v>
      </c>
      <c r="R21" t="s">
        <v>63</v>
      </c>
      <c r="S21" t="s">
        <v>29</v>
      </c>
      <c r="T21">
        <v>67</v>
      </c>
      <c r="U21" t="s">
        <v>28</v>
      </c>
      <c r="V21" t="s">
        <v>109</v>
      </c>
    </row>
    <row r="22" spans="1:22" x14ac:dyDescent="0.3">
      <c r="A22">
        <v>21</v>
      </c>
      <c r="B22" t="s">
        <v>110</v>
      </c>
      <c r="C22" t="s">
        <v>251</v>
      </c>
      <c r="D22" t="s">
        <v>23</v>
      </c>
      <c r="E22" t="s">
        <v>44</v>
      </c>
      <c r="F22" t="s">
        <v>25</v>
      </c>
      <c r="G22" t="s">
        <v>23</v>
      </c>
      <c r="H22" t="s">
        <v>26</v>
      </c>
      <c r="I22">
        <v>238</v>
      </c>
      <c r="J22">
        <v>3</v>
      </c>
      <c r="K22">
        <v>234</v>
      </c>
      <c r="L22">
        <v>7</v>
      </c>
      <c r="M22" t="s">
        <v>27</v>
      </c>
      <c r="N22" t="s">
        <v>44</v>
      </c>
      <c r="O22">
        <v>4</v>
      </c>
      <c r="Q22">
        <v>0</v>
      </c>
      <c r="R22" t="s">
        <v>46</v>
      </c>
      <c r="S22" t="s">
        <v>46</v>
      </c>
      <c r="T22">
        <v>87</v>
      </c>
      <c r="U22" t="s">
        <v>111</v>
      </c>
      <c r="V22" t="s">
        <v>112</v>
      </c>
    </row>
    <row r="23" spans="1:22" x14ac:dyDescent="0.3">
      <c r="A23">
        <v>22</v>
      </c>
      <c r="B23" t="s">
        <v>110</v>
      </c>
      <c r="C23" t="s">
        <v>263</v>
      </c>
      <c r="D23" t="s">
        <v>51</v>
      </c>
      <c r="E23" t="s">
        <v>37</v>
      </c>
      <c r="F23" t="s">
        <v>25</v>
      </c>
      <c r="G23" t="s">
        <v>51</v>
      </c>
      <c r="H23" t="s">
        <v>71</v>
      </c>
      <c r="I23">
        <v>219</v>
      </c>
      <c r="J23">
        <v>6</v>
      </c>
      <c r="K23">
        <v>201</v>
      </c>
      <c r="L23">
        <v>5</v>
      </c>
      <c r="M23" t="s">
        <v>27</v>
      </c>
      <c r="N23" t="s">
        <v>51</v>
      </c>
      <c r="O23">
        <v>18</v>
      </c>
      <c r="Q23">
        <v>0</v>
      </c>
      <c r="R23" t="s">
        <v>113</v>
      </c>
      <c r="S23" t="s">
        <v>113</v>
      </c>
      <c r="T23">
        <v>103</v>
      </c>
      <c r="U23" t="s">
        <v>114</v>
      </c>
      <c r="V23" t="s">
        <v>115</v>
      </c>
    </row>
    <row r="24" spans="1:22" x14ac:dyDescent="0.3">
      <c r="A24">
        <v>23</v>
      </c>
      <c r="B24" t="s">
        <v>116</v>
      </c>
      <c r="C24" t="s">
        <v>261</v>
      </c>
      <c r="D24" t="s">
        <v>50</v>
      </c>
      <c r="E24" t="s">
        <v>33</v>
      </c>
      <c r="F24" t="s">
        <v>25</v>
      </c>
      <c r="G24" t="s">
        <v>33</v>
      </c>
      <c r="H24" t="s">
        <v>26</v>
      </c>
      <c r="I24">
        <v>217</v>
      </c>
      <c r="J24">
        <v>6</v>
      </c>
      <c r="K24">
        <v>159</v>
      </c>
      <c r="L24">
        <v>10</v>
      </c>
      <c r="M24" t="s">
        <v>27</v>
      </c>
      <c r="N24" t="s">
        <v>50</v>
      </c>
      <c r="O24">
        <v>58</v>
      </c>
      <c r="Q24">
        <v>4</v>
      </c>
      <c r="R24" t="s">
        <v>68</v>
      </c>
      <c r="S24" t="s">
        <v>68</v>
      </c>
      <c r="T24">
        <v>82</v>
      </c>
      <c r="U24" t="s">
        <v>67</v>
      </c>
      <c r="V24" t="s">
        <v>117</v>
      </c>
    </row>
    <row r="25" spans="1:22" x14ac:dyDescent="0.3">
      <c r="A25">
        <v>24</v>
      </c>
      <c r="B25" t="s">
        <v>118</v>
      </c>
      <c r="C25" t="s">
        <v>257</v>
      </c>
      <c r="D25" t="s">
        <v>24</v>
      </c>
      <c r="E25" t="s">
        <v>43</v>
      </c>
      <c r="F25" t="s">
        <v>25</v>
      </c>
      <c r="G25" t="s">
        <v>43</v>
      </c>
      <c r="H25" t="s">
        <v>26</v>
      </c>
      <c r="I25">
        <v>163</v>
      </c>
      <c r="J25">
        <v>7</v>
      </c>
      <c r="K25">
        <v>169</v>
      </c>
      <c r="L25">
        <v>4</v>
      </c>
      <c r="M25" t="s">
        <v>27</v>
      </c>
      <c r="N25" t="s">
        <v>43</v>
      </c>
      <c r="P25">
        <v>6</v>
      </c>
      <c r="Q25">
        <v>13</v>
      </c>
      <c r="R25" t="s">
        <v>99</v>
      </c>
      <c r="S25" t="s">
        <v>99</v>
      </c>
      <c r="T25">
        <v>93</v>
      </c>
      <c r="U25" t="s">
        <v>119</v>
      </c>
      <c r="V25" t="s">
        <v>58</v>
      </c>
    </row>
    <row r="26" spans="1:22" x14ac:dyDescent="0.3">
      <c r="A26">
        <v>25</v>
      </c>
      <c r="B26" t="s">
        <v>120</v>
      </c>
      <c r="C26" t="s">
        <v>259</v>
      </c>
      <c r="D26" t="s">
        <v>37</v>
      </c>
      <c r="E26" t="s">
        <v>23</v>
      </c>
      <c r="F26" t="s">
        <v>25</v>
      </c>
      <c r="G26" t="s">
        <v>23</v>
      </c>
      <c r="H26" t="s">
        <v>26</v>
      </c>
      <c r="I26">
        <v>103</v>
      </c>
      <c r="J26">
        <v>9</v>
      </c>
      <c r="K26">
        <v>107</v>
      </c>
      <c r="L26">
        <v>2</v>
      </c>
      <c r="M26" t="s">
        <v>27</v>
      </c>
      <c r="N26" t="s">
        <v>23</v>
      </c>
      <c r="P26">
        <v>8</v>
      </c>
      <c r="Q26">
        <v>59</v>
      </c>
      <c r="R26" t="s">
        <v>121</v>
      </c>
      <c r="S26" t="s">
        <v>121</v>
      </c>
      <c r="T26">
        <v>44</v>
      </c>
      <c r="U26" t="s">
        <v>121</v>
      </c>
      <c r="V26" t="s">
        <v>122</v>
      </c>
    </row>
    <row r="27" spans="1:22" x14ac:dyDescent="0.3">
      <c r="A27">
        <v>26</v>
      </c>
      <c r="B27" t="s">
        <v>123</v>
      </c>
      <c r="C27" t="s">
        <v>253</v>
      </c>
      <c r="D27" t="s">
        <v>44</v>
      </c>
      <c r="E27" t="s">
        <v>50</v>
      </c>
      <c r="F27" t="s">
        <v>25</v>
      </c>
      <c r="G27" t="s">
        <v>44</v>
      </c>
      <c r="H27" t="s">
        <v>26</v>
      </c>
      <c r="I27">
        <v>180</v>
      </c>
      <c r="J27">
        <v>6</v>
      </c>
      <c r="K27">
        <v>186</v>
      </c>
      <c r="L27">
        <v>4</v>
      </c>
      <c r="M27" t="s">
        <v>27</v>
      </c>
      <c r="N27" t="s">
        <v>44</v>
      </c>
      <c r="P27">
        <v>6</v>
      </c>
      <c r="Q27">
        <v>3</v>
      </c>
      <c r="R27" t="s">
        <v>124</v>
      </c>
      <c r="S27" t="s">
        <v>46</v>
      </c>
      <c r="T27">
        <v>61</v>
      </c>
      <c r="U27" t="s">
        <v>67</v>
      </c>
      <c r="V27" t="s">
        <v>125</v>
      </c>
    </row>
    <row r="28" spans="1:22" x14ac:dyDescent="0.3">
      <c r="A28">
        <v>27</v>
      </c>
      <c r="B28" t="s">
        <v>123</v>
      </c>
      <c r="C28" t="s">
        <v>263</v>
      </c>
      <c r="D28" t="s">
        <v>32</v>
      </c>
      <c r="E28" t="s">
        <v>51</v>
      </c>
      <c r="F28" t="s">
        <v>25</v>
      </c>
      <c r="G28" t="s">
        <v>51</v>
      </c>
      <c r="H28" t="s">
        <v>71</v>
      </c>
      <c r="I28">
        <v>245</v>
      </c>
      <c r="J28">
        <v>6</v>
      </c>
      <c r="K28">
        <v>247</v>
      </c>
      <c r="L28">
        <v>2</v>
      </c>
      <c r="M28" t="s">
        <v>27</v>
      </c>
      <c r="N28" t="s">
        <v>32</v>
      </c>
      <c r="P28">
        <v>8</v>
      </c>
      <c r="Q28">
        <v>9</v>
      </c>
      <c r="R28" t="s">
        <v>126</v>
      </c>
      <c r="S28" t="s">
        <v>126</v>
      </c>
      <c r="T28">
        <v>141</v>
      </c>
      <c r="U28" t="s">
        <v>127</v>
      </c>
      <c r="V28" t="s">
        <v>128</v>
      </c>
    </row>
    <row r="29" spans="1:22" x14ac:dyDescent="0.3">
      <c r="A29">
        <v>28</v>
      </c>
      <c r="B29" t="s">
        <v>129</v>
      </c>
      <c r="C29" t="s">
        <v>267</v>
      </c>
      <c r="D29" t="s">
        <v>33</v>
      </c>
      <c r="E29" t="s">
        <v>24</v>
      </c>
      <c r="F29" t="s">
        <v>25</v>
      </c>
      <c r="G29" t="s">
        <v>24</v>
      </c>
      <c r="H29" t="s">
        <v>26</v>
      </c>
      <c r="I29">
        <v>173</v>
      </c>
      <c r="J29">
        <v>4</v>
      </c>
      <c r="K29">
        <v>175</v>
      </c>
      <c r="L29">
        <v>1</v>
      </c>
      <c r="M29" t="s">
        <v>27</v>
      </c>
      <c r="N29" t="s">
        <v>24</v>
      </c>
      <c r="P29">
        <v>9</v>
      </c>
      <c r="Q29">
        <v>15</v>
      </c>
      <c r="R29" t="s">
        <v>130</v>
      </c>
      <c r="S29" t="s">
        <v>103</v>
      </c>
      <c r="T29">
        <v>75</v>
      </c>
      <c r="U29" t="s">
        <v>28</v>
      </c>
      <c r="V29" t="s">
        <v>131</v>
      </c>
    </row>
    <row r="30" spans="1:22" x14ac:dyDescent="0.3">
      <c r="A30">
        <v>29</v>
      </c>
      <c r="B30" t="s">
        <v>129</v>
      </c>
      <c r="C30" t="s">
        <v>246</v>
      </c>
      <c r="D30" t="s">
        <v>43</v>
      </c>
      <c r="E30" t="s">
        <v>38</v>
      </c>
      <c r="F30" t="s">
        <v>25</v>
      </c>
      <c r="G30" t="s">
        <v>43</v>
      </c>
      <c r="H30" t="s">
        <v>26</v>
      </c>
      <c r="I30">
        <v>205</v>
      </c>
      <c r="J30">
        <v>5</v>
      </c>
      <c r="K30">
        <v>193</v>
      </c>
      <c r="L30">
        <v>10</v>
      </c>
      <c r="M30" t="s">
        <v>27</v>
      </c>
      <c r="N30" t="s">
        <v>43</v>
      </c>
      <c r="O30">
        <v>12</v>
      </c>
      <c r="Q30">
        <v>6</v>
      </c>
      <c r="R30" t="s">
        <v>132</v>
      </c>
      <c r="S30" t="s">
        <v>133</v>
      </c>
      <c r="T30">
        <v>89</v>
      </c>
      <c r="U30" t="s">
        <v>132</v>
      </c>
      <c r="V30" t="s">
        <v>134</v>
      </c>
    </row>
    <row r="31" spans="1:22" x14ac:dyDescent="0.3">
      <c r="A31">
        <v>30</v>
      </c>
      <c r="B31" t="s">
        <v>135</v>
      </c>
      <c r="C31" t="s">
        <v>253</v>
      </c>
      <c r="D31" t="s">
        <v>44</v>
      </c>
      <c r="E31" t="s">
        <v>37</v>
      </c>
      <c r="F31" t="s">
        <v>25</v>
      </c>
      <c r="G31" t="s">
        <v>37</v>
      </c>
      <c r="H31" t="s">
        <v>26</v>
      </c>
      <c r="I31">
        <v>166</v>
      </c>
      <c r="J31">
        <v>7</v>
      </c>
      <c r="K31">
        <v>168</v>
      </c>
      <c r="L31">
        <v>5</v>
      </c>
      <c r="M31" t="s">
        <v>27</v>
      </c>
      <c r="N31" t="s">
        <v>37</v>
      </c>
      <c r="P31">
        <v>5</v>
      </c>
      <c r="Q31">
        <v>3</v>
      </c>
      <c r="R31" t="s">
        <v>136</v>
      </c>
      <c r="S31" t="s">
        <v>137</v>
      </c>
      <c r="T31">
        <v>63</v>
      </c>
      <c r="U31" t="s">
        <v>138</v>
      </c>
      <c r="V31" t="s">
        <v>69</v>
      </c>
    </row>
    <row r="32" spans="1:22" x14ac:dyDescent="0.3">
      <c r="A32">
        <v>31</v>
      </c>
      <c r="B32" t="s">
        <v>139</v>
      </c>
      <c r="C32" t="s">
        <v>263</v>
      </c>
      <c r="D32" t="s">
        <v>51</v>
      </c>
      <c r="E32" t="s">
        <v>23</v>
      </c>
      <c r="F32" t="s">
        <v>25</v>
      </c>
      <c r="G32" t="s">
        <v>51</v>
      </c>
      <c r="H32" t="s">
        <v>71</v>
      </c>
      <c r="I32">
        <v>111</v>
      </c>
      <c r="J32">
        <v>10</v>
      </c>
      <c r="K32">
        <v>95</v>
      </c>
      <c r="L32">
        <v>10</v>
      </c>
      <c r="M32" t="s">
        <v>27</v>
      </c>
      <c r="N32" t="s">
        <v>51</v>
      </c>
      <c r="O32">
        <v>16</v>
      </c>
      <c r="Q32">
        <v>29</v>
      </c>
      <c r="R32" t="s">
        <v>140</v>
      </c>
      <c r="S32" t="s">
        <v>141</v>
      </c>
      <c r="T32">
        <v>37</v>
      </c>
      <c r="U32" t="s">
        <v>140</v>
      </c>
      <c r="V32" t="s">
        <v>142</v>
      </c>
    </row>
    <row r="33" spans="1:22" x14ac:dyDescent="0.3">
      <c r="A33">
        <v>32</v>
      </c>
      <c r="B33" t="s">
        <v>143</v>
      </c>
      <c r="C33" t="s">
        <v>246</v>
      </c>
      <c r="D33" t="s">
        <v>43</v>
      </c>
      <c r="E33" t="s">
        <v>33</v>
      </c>
      <c r="F33" t="s">
        <v>25</v>
      </c>
      <c r="G33" t="s">
        <v>33</v>
      </c>
      <c r="H33" t="s">
        <v>26</v>
      </c>
      <c r="I33">
        <v>188</v>
      </c>
      <c r="J33">
        <v>5</v>
      </c>
      <c r="K33">
        <v>188</v>
      </c>
      <c r="L33">
        <v>4</v>
      </c>
      <c r="M33" t="s">
        <v>27</v>
      </c>
      <c r="N33" t="s">
        <v>43</v>
      </c>
      <c r="O33" t="s">
        <v>144</v>
      </c>
      <c r="P33" t="s">
        <v>144</v>
      </c>
      <c r="Q33">
        <v>0</v>
      </c>
      <c r="R33" t="s">
        <v>47</v>
      </c>
      <c r="S33" t="s">
        <v>74</v>
      </c>
      <c r="T33">
        <v>51</v>
      </c>
      <c r="U33" t="s">
        <v>102</v>
      </c>
      <c r="V33" t="s">
        <v>145</v>
      </c>
    </row>
    <row r="34" spans="1:22" x14ac:dyDescent="0.3">
      <c r="A34">
        <v>33</v>
      </c>
      <c r="B34" t="s">
        <v>146</v>
      </c>
      <c r="C34" t="s">
        <v>269</v>
      </c>
      <c r="D34" t="s">
        <v>38</v>
      </c>
      <c r="E34" t="s">
        <v>32</v>
      </c>
      <c r="F34" t="s">
        <v>25</v>
      </c>
      <c r="G34" t="s">
        <v>38</v>
      </c>
      <c r="H34" t="s">
        <v>26</v>
      </c>
      <c r="I34">
        <v>162</v>
      </c>
      <c r="J34">
        <v>5</v>
      </c>
      <c r="K34">
        <v>166</v>
      </c>
      <c r="L34">
        <v>6</v>
      </c>
      <c r="M34" t="s">
        <v>27</v>
      </c>
      <c r="N34" t="s">
        <v>38</v>
      </c>
      <c r="P34">
        <v>4</v>
      </c>
      <c r="Q34">
        <v>11</v>
      </c>
      <c r="R34" t="s">
        <v>147</v>
      </c>
      <c r="S34" t="s">
        <v>126</v>
      </c>
      <c r="T34">
        <v>40</v>
      </c>
      <c r="U34" t="s">
        <v>148</v>
      </c>
      <c r="V34" t="s">
        <v>134</v>
      </c>
    </row>
    <row r="35" spans="1:22" x14ac:dyDescent="0.3">
      <c r="A35">
        <v>34</v>
      </c>
      <c r="B35" t="s">
        <v>149</v>
      </c>
      <c r="C35" t="s">
        <v>257</v>
      </c>
      <c r="D35" t="s">
        <v>24</v>
      </c>
      <c r="E35" t="s">
        <v>51</v>
      </c>
      <c r="F35" t="s">
        <v>25</v>
      </c>
      <c r="G35" t="s">
        <v>51</v>
      </c>
      <c r="H35" t="s">
        <v>26</v>
      </c>
      <c r="I35">
        <v>95</v>
      </c>
      <c r="J35">
        <v>9</v>
      </c>
      <c r="K35">
        <v>98</v>
      </c>
      <c r="L35">
        <v>5</v>
      </c>
      <c r="M35" t="s">
        <v>27</v>
      </c>
      <c r="N35" t="s">
        <v>51</v>
      </c>
      <c r="P35">
        <v>5</v>
      </c>
      <c r="Q35">
        <v>11</v>
      </c>
      <c r="R35" t="s">
        <v>150</v>
      </c>
      <c r="S35" t="s">
        <v>150</v>
      </c>
      <c r="T35">
        <v>50</v>
      </c>
      <c r="U35" t="s">
        <v>64</v>
      </c>
      <c r="V35" t="s">
        <v>151</v>
      </c>
    </row>
    <row r="36" spans="1:22" x14ac:dyDescent="0.3">
      <c r="A36">
        <v>35</v>
      </c>
      <c r="B36" t="s">
        <v>152</v>
      </c>
      <c r="C36" t="s">
        <v>261</v>
      </c>
      <c r="D36" t="s">
        <v>50</v>
      </c>
      <c r="E36" t="s">
        <v>43</v>
      </c>
      <c r="F36" t="s">
        <v>25</v>
      </c>
      <c r="G36" t="s">
        <v>50</v>
      </c>
      <c r="H36" t="s">
        <v>26</v>
      </c>
      <c r="I36">
        <v>203</v>
      </c>
      <c r="J36">
        <v>8</v>
      </c>
      <c r="K36">
        <v>204</v>
      </c>
      <c r="L36">
        <v>3</v>
      </c>
      <c r="M36" t="s">
        <v>27</v>
      </c>
      <c r="N36" t="s">
        <v>50</v>
      </c>
      <c r="P36">
        <v>7</v>
      </c>
      <c r="Q36">
        <v>4</v>
      </c>
      <c r="R36" t="s">
        <v>87</v>
      </c>
      <c r="S36" t="s">
        <v>87</v>
      </c>
      <c r="T36">
        <v>97</v>
      </c>
      <c r="U36" t="s">
        <v>67</v>
      </c>
      <c r="V36" t="s">
        <v>153</v>
      </c>
    </row>
    <row r="37" spans="1:22" x14ac:dyDescent="0.3">
      <c r="A37">
        <v>36</v>
      </c>
      <c r="B37" t="s">
        <v>152</v>
      </c>
      <c r="C37" t="s">
        <v>267</v>
      </c>
      <c r="D37" t="s">
        <v>33</v>
      </c>
      <c r="E37" t="s">
        <v>44</v>
      </c>
      <c r="F37" t="s">
        <v>25</v>
      </c>
      <c r="G37" t="s">
        <v>44</v>
      </c>
      <c r="H37" t="s">
        <v>71</v>
      </c>
      <c r="I37">
        <v>180</v>
      </c>
      <c r="J37">
        <v>5</v>
      </c>
      <c r="K37">
        <v>178</v>
      </c>
      <c r="L37">
        <v>5</v>
      </c>
      <c r="M37" t="s">
        <v>27</v>
      </c>
      <c r="N37" t="s">
        <v>44</v>
      </c>
      <c r="O37">
        <v>2</v>
      </c>
      <c r="Q37">
        <v>0</v>
      </c>
      <c r="R37" t="s">
        <v>154</v>
      </c>
      <c r="S37" t="s">
        <v>103</v>
      </c>
      <c r="T37">
        <v>74</v>
      </c>
      <c r="U37" t="s">
        <v>154</v>
      </c>
      <c r="V37" t="s">
        <v>155</v>
      </c>
    </row>
    <row r="38" spans="1:22" x14ac:dyDescent="0.3">
      <c r="A38">
        <v>37</v>
      </c>
      <c r="B38" t="s">
        <v>156</v>
      </c>
      <c r="C38" t="s">
        <v>263</v>
      </c>
      <c r="D38" t="s">
        <v>51</v>
      </c>
      <c r="E38" t="s">
        <v>24</v>
      </c>
      <c r="F38" t="s">
        <v>25</v>
      </c>
      <c r="G38" t="s">
        <v>24</v>
      </c>
      <c r="H38" t="s">
        <v>26</v>
      </c>
      <c r="I38">
        <v>157</v>
      </c>
      <c r="J38">
        <v>6</v>
      </c>
      <c r="K38">
        <v>159</v>
      </c>
      <c r="L38">
        <v>3</v>
      </c>
      <c r="M38" t="s">
        <v>27</v>
      </c>
      <c r="N38" t="s">
        <v>51</v>
      </c>
      <c r="P38">
        <v>7</v>
      </c>
      <c r="Q38">
        <v>7</v>
      </c>
      <c r="R38" t="s">
        <v>29</v>
      </c>
      <c r="S38" t="s">
        <v>29</v>
      </c>
      <c r="T38">
        <v>73</v>
      </c>
      <c r="U38" t="s">
        <v>28</v>
      </c>
      <c r="V38" t="s">
        <v>101</v>
      </c>
    </row>
    <row r="39" spans="1:22" x14ac:dyDescent="0.3">
      <c r="A39">
        <v>38</v>
      </c>
      <c r="B39" t="s">
        <v>156</v>
      </c>
      <c r="C39" t="s">
        <v>269</v>
      </c>
      <c r="D39" t="s">
        <v>38</v>
      </c>
      <c r="E39" t="s">
        <v>37</v>
      </c>
      <c r="F39" t="s">
        <v>25</v>
      </c>
      <c r="G39" t="s">
        <v>38</v>
      </c>
      <c r="H39" t="s">
        <v>26</v>
      </c>
      <c r="I39">
        <v>176</v>
      </c>
      <c r="J39">
        <v>5</v>
      </c>
      <c r="K39">
        <v>177</v>
      </c>
      <c r="L39">
        <v>1</v>
      </c>
      <c r="M39" t="s">
        <v>27</v>
      </c>
      <c r="N39" t="s">
        <v>38</v>
      </c>
      <c r="P39">
        <v>9</v>
      </c>
      <c r="Q39">
        <v>26</v>
      </c>
      <c r="R39" t="s">
        <v>157</v>
      </c>
      <c r="S39" t="s">
        <v>157</v>
      </c>
      <c r="T39">
        <v>76</v>
      </c>
      <c r="U39" t="s">
        <v>158</v>
      </c>
      <c r="V39" t="s">
        <v>101</v>
      </c>
    </row>
    <row r="40" spans="1:22" x14ac:dyDescent="0.3">
      <c r="A40">
        <v>39</v>
      </c>
      <c r="B40" t="s">
        <v>159</v>
      </c>
      <c r="C40" t="s">
        <v>251</v>
      </c>
      <c r="D40" t="s">
        <v>23</v>
      </c>
      <c r="E40" t="s">
        <v>50</v>
      </c>
      <c r="F40" t="s">
        <v>25</v>
      </c>
      <c r="G40" t="s">
        <v>23</v>
      </c>
      <c r="H40" t="s">
        <v>26</v>
      </c>
      <c r="I40">
        <v>198</v>
      </c>
      <c r="J40">
        <v>3</v>
      </c>
      <c r="K40">
        <v>159</v>
      </c>
      <c r="L40">
        <v>8</v>
      </c>
      <c r="M40" t="s">
        <v>27</v>
      </c>
      <c r="N40" t="s">
        <v>50</v>
      </c>
      <c r="O40">
        <v>39</v>
      </c>
      <c r="Q40">
        <v>0</v>
      </c>
      <c r="R40" t="s">
        <v>106</v>
      </c>
      <c r="S40" t="s">
        <v>106</v>
      </c>
      <c r="T40">
        <v>90</v>
      </c>
      <c r="U40" t="s">
        <v>67</v>
      </c>
      <c r="V40" t="s">
        <v>101</v>
      </c>
    </row>
    <row r="41" spans="1:22" x14ac:dyDescent="0.3">
      <c r="A41">
        <v>40</v>
      </c>
      <c r="B41" t="s">
        <v>160</v>
      </c>
      <c r="C41" t="s">
        <v>253</v>
      </c>
      <c r="D41" t="s">
        <v>44</v>
      </c>
      <c r="E41" t="s">
        <v>43</v>
      </c>
      <c r="F41" t="s">
        <v>25</v>
      </c>
      <c r="G41" t="s">
        <v>43</v>
      </c>
      <c r="H41" t="s">
        <v>26</v>
      </c>
      <c r="I41">
        <v>159</v>
      </c>
      <c r="J41">
        <v>6</v>
      </c>
      <c r="K41">
        <v>161</v>
      </c>
      <c r="L41">
        <v>2</v>
      </c>
      <c r="M41" t="s">
        <v>27</v>
      </c>
      <c r="N41" t="s">
        <v>43</v>
      </c>
      <c r="P41">
        <v>8</v>
      </c>
      <c r="Q41">
        <v>13</v>
      </c>
      <c r="R41" t="s">
        <v>161</v>
      </c>
      <c r="S41" t="s">
        <v>99</v>
      </c>
      <c r="T41">
        <v>57</v>
      </c>
      <c r="U41" t="s">
        <v>161</v>
      </c>
      <c r="V41" t="s">
        <v>162</v>
      </c>
    </row>
    <row r="42" spans="1:22" x14ac:dyDescent="0.3">
      <c r="A42">
        <v>41</v>
      </c>
      <c r="B42" t="s">
        <v>163</v>
      </c>
      <c r="C42" t="s">
        <v>263</v>
      </c>
      <c r="D42" t="s">
        <v>32</v>
      </c>
      <c r="E42" t="s">
        <v>38</v>
      </c>
      <c r="F42" t="s">
        <v>25</v>
      </c>
      <c r="G42" t="s">
        <v>32</v>
      </c>
      <c r="H42" t="s">
        <v>26</v>
      </c>
      <c r="I42">
        <v>143</v>
      </c>
      <c r="J42">
        <v>8</v>
      </c>
      <c r="K42">
        <v>146</v>
      </c>
      <c r="L42">
        <v>3</v>
      </c>
      <c r="M42" t="s">
        <v>27</v>
      </c>
      <c r="N42" t="s">
        <v>38</v>
      </c>
      <c r="P42">
        <v>7</v>
      </c>
      <c r="Q42">
        <v>26</v>
      </c>
      <c r="R42" t="s">
        <v>164</v>
      </c>
      <c r="S42" t="s">
        <v>165</v>
      </c>
      <c r="T42">
        <v>71</v>
      </c>
      <c r="U42" t="s">
        <v>164</v>
      </c>
      <c r="V42" t="s">
        <v>166</v>
      </c>
    </row>
    <row r="43" spans="1:22" x14ac:dyDescent="0.3">
      <c r="A43">
        <v>42</v>
      </c>
      <c r="B43" t="s">
        <v>167</v>
      </c>
      <c r="C43" t="s">
        <v>257</v>
      </c>
      <c r="D43" t="s">
        <v>24</v>
      </c>
      <c r="E43" t="s">
        <v>33</v>
      </c>
      <c r="F43" t="s">
        <v>25</v>
      </c>
      <c r="G43" t="s">
        <v>33</v>
      </c>
      <c r="H43" t="s">
        <v>26</v>
      </c>
      <c r="I43">
        <v>205</v>
      </c>
      <c r="J43">
        <v>5</v>
      </c>
      <c r="K43">
        <v>194</v>
      </c>
      <c r="L43">
        <v>9</v>
      </c>
      <c r="M43" t="s">
        <v>27</v>
      </c>
      <c r="N43" t="s">
        <v>24</v>
      </c>
      <c r="O43">
        <v>11</v>
      </c>
      <c r="Q43">
        <v>0</v>
      </c>
      <c r="R43" t="s">
        <v>64</v>
      </c>
      <c r="S43" t="s">
        <v>29</v>
      </c>
      <c r="T43">
        <v>70</v>
      </c>
      <c r="U43" t="s">
        <v>64</v>
      </c>
      <c r="V43" t="s">
        <v>162</v>
      </c>
    </row>
    <row r="44" spans="1:22" x14ac:dyDescent="0.3">
      <c r="A44">
        <v>43</v>
      </c>
      <c r="B44" t="s">
        <v>168</v>
      </c>
      <c r="C44" t="s">
        <v>259</v>
      </c>
      <c r="D44" t="s">
        <v>37</v>
      </c>
      <c r="E44" t="s">
        <v>32</v>
      </c>
      <c r="F44" t="s">
        <v>25</v>
      </c>
      <c r="G44" t="s">
        <v>32</v>
      </c>
      <c r="H44" t="s">
        <v>26</v>
      </c>
      <c r="I44">
        <v>154</v>
      </c>
      <c r="J44">
        <v>10</v>
      </c>
      <c r="K44">
        <v>155</v>
      </c>
      <c r="L44">
        <v>5</v>
      </c>
      <c r="M44" t="s">
        <v>27</v>
      </c>
      <c r="N44" t="s">
        <v>32</v>
      </c>
      <c r="P44">
        <v>5</v>
      </c>
      <c r="Q44">
        <v>8</v>
      </c>
      <c r="R44" t="s">
        <v>127</v>
      </c>
      <c r="S44" t="s">
        <v>34</v>
      </c>
      <c r="T44">
        <v>44</v>
      </c>
      <c r="U44" t="s">
        <v>127</v>
      </c>
      <c r="V44" t="s">
        <v>142</v>
      </c>
    </row>
    <row r="45" spans="1:22" x14ac:dyDescent="0.3">
      <c r="A45">
        <v>45</v>
      </c>
      <c r="B45" t="s">
        <v>169</v>
      </c>
      <c r="C45" t="s">
        <v>269</v>
      </c>
      <c r="D45" t="s">
        <v>38</v>
      </c>
      <c r="E45" t="s">
        <v>44</v>
      </c>
      <c r="F45" t="s">
        <v>25</v>
      </c>
      <c r="G45" t="s">
        <v>44</v>
      </c>
      <c r="H45" t="s">
        <v>26</v>
      </c>
      <c r="I45">
        <v>215</v>
      </c>
      <c r="J45">
        <v>7</v>
      </c>
      <c r="K45">
        <v>161</v>
      </c>
      <c r="L45">
        <v>10</v>
      </c>
      <c r="M45" t="s">
        <v>27</v>
      </c>
      <c r="N45" t="s">
        <v>38</v>
      </c>
      <c r="O45">
        <v>54</v>
      </c>
      <c r="Q45">
        <v>0</v>
      </c>
      <c r="R45" t="s">
        <v>147</v>
      </c>
      <c r="S45" t="s">
        <v>79</v>
      </c>
      <c r="T45">
        <v>58</v>
      </c>
      <c r="U45" t="s">
        <v>158</v>
      </c>
      <c r="V45" t="s">
        <v>170</v>
      </c>
    </row>
    <row r="46" spans="1:22" x14ac:dyDescent="0.3">
      <c r="A46">
        <v>46</v>
      </c>
      <c r="B46" t="s">
        <v>169</v>
      </c>
      <c r="C46" t="s">
        <v>246</v>
      </c>
      <c r="D46" t="s">
        <v>43</v>
      </c>
      <c r="E46" t="s">
        <v>24</v>
      </c>
      <c r="F46" t="s">
        <v>25</v>
      </c>
      <c r="G46" t="s">
        <v>24</v>
      </c>
      <c r="H46" t="s">
        <v>26</v>
      </c>
      <c r="I46">
        <v>162</v>
      </c>
      <c r="J46">
        <v>8</v>
      </c>
      <c r="K46">
        <v>165</v>
      </c>
      <c r="L46">
        <v>4</v>
      </c>
      <c r="M46" t="s">
        <v>27</v>
      </c>
      <c r="N46" t="s">
        <v>24</v>
      </c>
      <c r="P46">
        <v>6</v>
      </c>
      <c r="Q46">
        <v>9</v>
      </c>
      <c r="R46" t="s">
        <v>28</v>
      </c>
      <c r="S46" t="s">
        <v>28</v>
      </c>
      <c r="T46">
        <v>73</v>
      </c>
      <c r="U46" t="s">
        <v>171</v>
      </c>
      <c r="V46" t="s">
        <v>172</v>
      </c>
    </row>
    <row r="47" spans="1:22" x14ac:dyDescent="0.3">
      <c r="A47">
        <v>47</v>
      </c>
      <c r="B47" t="s">
        <v>173</v>
      </c>
      <c r="C47" t="s">
        <v>267</v>
      </c>
      <c r="D47" t="s">
        <v>33</v>
      </c>
      <c r="E47" t="s">
        <v>50</v>
      </c>
      <c r="F47" t="s">
        <v>25</v>
      </c>
      <c r="G47" t="s">
        <v>33</v>
      </c>
      <c r="H47" t="s">
        <v>26</v>
      </c>
      <c r="I47">
        <v>209</v>
      </c>
      <c r="J47">
        <v>4</v>
      </c>
      <c r="K47">
        <v>212</v>
      </c>
      <c r="L47">
        <v>2</v>
      </c>
      <c r="M47" t="s">
        <v>27</v>
      </c>
      <c r="N47" t="s">
        <v>33</v>
      </c>
      <c r="P47">
        <v>8</v>
      </c>
      <c r="Q47">
        <v>25</v>
      </c>
      <c r="R47" t="s">
        <v>174</v>
      </c>
      <c r="S47" t="s">
        <v>174</v>
      </c>
      <c r="T47">
        <v>101</v>
      </c>
      <c r="U47" t="s">
        <v>175</v>
      </c>
      <c r="V47" t="s">
        <v>176</v>
      </c>
    </row>
    <row r="48" spans="1:22" x14ac:dyDescent="0.3">
      <c r="A48">
        <v>48</v>
      </c>
      <c r="B48" t="s">
        <v>177</v>
      </c>
      <c r="C48" t="s">
        <v>246</v>
      </c>
      <c r="D48" t="s">
        <v>43</v>
      </c>
      <c r="E48" t="s">
        <v>23</v>
      </c>
      <c r="F48" t="s">
        <v>25</v>
      </c>
      <c r="G48" t="s">
        <v>43</v>
      </c>
      <c r="H48" t="s">
        <v>26</v>
      </c>
      <c r="I48">
        <v>204</v>
      </c>
      <c r="J48">
        <v>9</v>
      </c>
      <c r="K48">
        <v>190</v>
      </c>
      <c r="L48">
        <v>9</v>
      </c>
      <c r="M48" t="s">
        <v>27</v>
      </c>
      <c r="N48" t="s">
        <v>23</v>
      </c>
      <c r="O48">
        <v>14</v>
      </c>
      <c r="Q48">
        <v>0</v>
      </c>
      <c r="R48" t="s">
        <v>121</v>
      </c>
      <c r="S48" t="s">
        <v>178</v>
      </c>
      <c r="T48">
        <v>62</v>
      </c>
      <c r="U48" t="s">
        <v>121</v>
      </c>
      <c r="V48" t="s">
        <v>30</v>
      </c>
    </row>
    <row r="49" spans="1:22" x14ac:dyDescent="0.3">
      <c r="A49">
        <v>49</v>
      </c>
      <c r="B49" t="s">
        <v>179</v>
      </c>
      <c r="C49" t="s">
        <v>259</v>
      </c>
      <c r="D49" t="s">
        <v>37</v>
      </c>
      <c r="E49" t="s">
        <v>51</v>
      </c>
      <c r="F49" t="s">
        <v>25</v>
      </c>
      <c r="G49" t="s">
        <v>51</v>
      </c>
      <c r="H49" t="s">
        <v>26</v>
      </c>
      <c r="I49">
        <v>190</v>
      </c>
      <c r="J49">
        <v>10</v>
      </c>
      <c r="K49">
        <v>194</v>
      </c>
      <c r="L49">
        <v>6</v>
      </c>
      <c r="M49" t="s">
        <v>27</v>
      </c>
      <c r="N49" t="s">
        <v>51</v>
      </c>
      <c r="P49">
        <v>4</v>
      </c>
      <c r="Q49">
        <v>2</v>
      </c>
      <c r="R49" t="s">
        <v>52</v>
      </c>
      <c r="S49" t="s">
        <v>180</v>
      </c>
      <c r="T49">
        <v>88</v>
      </c>
      <c r="U49" t="s">
        <v>140</v>
      </c>
      <c r="V49" t="s">
        <v>181</v>
      </c>
    </row>
    <row r="50" spans="1:22" x14ac:dyDescent="0.3">
      <c r="A50">
        <v>50</v>
      </c>
      <c r="B50" t="s">
        <v>182</v>
      </c>
      <c r="C50" t="s">
        <v>267</v>
      </c>
      <c r="D50" t="s">
        <v>33</v>
      </c>
      <c r="E50" t="s">
        <v>38</v>
      </c>
      <c r="F50" t="s">
        <v>25</v>
      </c>
      <c r="G50" t="s">
        <v>33</v>
      </c>
      <c r="H50" t="s">
        <v>26</v>
      </c>
      <c r="I50">
        <v>217</v>
      </c>
      <c r="J50">
        <v>2</v>
      </c>
      <c r="K50">
        <v>117</v>
      </c>
      <c r="L50">
        <v>10</v>
      </c>
      <c r="M50" t="s">
        <v>27</v>
      </c>
      <c r="N50" t="s">
        <v>38</v>
      </c>
      <c r="O50">
        <v>100</v>
      </c>
      <c r="Q50">
        <v>23</v>
      </c>
      <c r="R50" t="s">
        <v>79</v>
      </c>
      <c r="S50" t="s">
        <v>79</v>
      </c>
      <c r="T50">
        <v>61</v>
      </c>
      <c r="U50" t="s">
        <v>132</v>
      </c>
      <c r="V50" t="s">
        <v>183</v>
      </c>
    </row>
    <row r="51" spans="1:22" x14ac:dyDescent="0.3">
      <c r="A51">
        <v>51</v>
      </c>
      <c r="B51" t="s">
        <v>184</v>
      </c>
      <c r="C51" t="s">
        <v>261</v>
      </c>
      <c r="D51" t="s">
        <v>50</v>
      </c>
      <c r="E51" t="s">
        <v>32</v>
      </c>
      <c r="F51" t="s">
        <v>25</v>
      </c>
      <c r="G51" t="s">
        <v>32</v>
      </c>
      <c r="H51" t="s">
        <v>26</v>
      </c>
      <c r="I51">
        <v>224</v>
      </c>
      <c r="J51">
        <v>6</v>
      </c>
      <c r="K51">
        <v>186</v>
      </c>
      <c r="L51">
        <v>6</v>
      </c>
      <c r="M51" t="s">
        <v>27</v>
      </c>
      <c r="N51" t="s">
        <v>50</v>
      </c>
      <c r="O51">
        <v>38</v>
      </c>
      <c r="Q51">
        <v>0</v>
      </c>
      <c r="R51" t="s">
        <v>67</v>
      </c>
      <c r="S51" t="s">
        <v>106</v>
      </c>
      <c r="T51">
        <v>76</v>
      </c>
      <c r="U51" t="s">
        <v>185</v>
      </c>
      <c r="V51" t="s">
        <v>186</v>
      </c>
    </row>
    <row r="52" spans="1:22" x14ac:dyDescent="0.3">
      <c r="A52">
        <v>52</v>
      </c>
      <c r="B52" t="s">
        <v>187</v>
      </c>
      <c r="C52" t="s">
        <v>257</v>
      </c>
      <c r="D52" t="s">
        <v>24</v>
      </c>
      <c r="E52" t="s">
        <v>37</v>
      </c>
      <c r="F52" t="s">
        <v>25</v>
      </c>
      <c r="G52" t="s">
        <v>37</v>
      </c>
      <c r="H52" t="s">
        <v>26</v>
      </c>
      <c r="I52">
        <v>213</v>
      </c>
      <c r="J52">
        <v>5</v>
      </c>
      <c r="K52">
        <v>211</v>
      </c>
      <c r="L52">
        <v>5</v>
      </c>
      <c r="M52" t="s">
        <v>27</v>
      </c>
      <c r="N52" t="s">
        <v>24</v>
      </c>
      <c r="O52">
        <v>2</v>
      </c>
      <c r="Q52">
        <v>0</v>
      </c>
      <c r="R52" t="s">
        <v>188</v>
      </c>
      <c r="S52" t="s">
        <v>189</v>
      </c>
      <c r="T52">
        <v>94</v>
      </c>
      <c r="U52" t="s">
        <v>190</v>
      </c>
      <c r="V52" t="s">
        <v>54</v>
      </c>
    </row>
    <row r="53" spans="1:22" x14ac:dyDescent="0.3">
      <c r="A53">
        <v>53</v>
      </c>
      <c r="B53" t="s">
        <v>191</v>
      </c>
      <c r="C53" t="s">
        <v>251</v>
      </c>
      <c r="D53" t="s">
        <v>23</v>
      </c>
      <c r="E53" t="s">
        <v>33</v>
      </c>
      <c r="F53" t="s">
        <v>25</v>
      </c>
      <c r="G53" t="s">
        <v>23</v>
      </c>
      <c r="H53" t="s">
        <v>71</v>
      </c>
      <c r="I53">
        <v>206</v>
      </c>
      <c r="J53">
        <v>4</v>
      </c>
      <c r="K53">
        <v>205</v>
      </c>
      <c r="L53">
        <v>8</v>
      </c>
      <c r="M53" t="s">
        <v>27</v>
      </c>
      <c r="N53" t="s">
        <v>23</v>
      </c>
      <c r="O53">
        <v>1</v>
      </c>
      <c r="Q53">
        <v>0</v>
      </c>
      <c r="R53" t="s">
        <v>192</v>
      </c>
      <c r="S53" t="s">
        <v>193</v>
      </c>
      <c r="T53">
        <v>95</v>
      </c>
      <c r="U53" t="s">
        <v>57</v>
      </c>
      <c r="V53" t="s">
        <v>145</v>
      </c>
    </row>
    <row r="54" spans="1:22" x14ac:dyDescent="0.3">
      <c r="A54">
        <v>54</v>
      </c>
      <c r="B54" t="s">
        <v>191</v>
      </c>
      <c r="C54" t="s">
        <v>255</v>
      </c>
      <c r="D54" t="s">
        <v>51</v>
      </c>
      <c r="E54" t="s">
        <v>44</v>
      </c>
      <c r="F54" t="s">
        <v>25</v>
      </c>
      <c r="G54" t="s">
        <v>44</v>
      </c>
      <c r="H54" t="s">
        <v>26</v>
      </c>
      <c r="I54">
        <v>236</v>
      </c>
      <c r="J54">
        <v>5</v>
      </c>
      <c r="K54">
        <v>199</v>
      </c>
      <c r="L54">
        <v>7</v>
      </c>
      <c r="M54" t="s">
        <v>27</v>
      </c>
      <c r="N54" t="s">
        <v>51</v>
      </c>
      <c r="O54">
        <v>37</v>
      </c>
      <c r="Q54">
        <v>0</v>
      </c>
      <c r="R54" t="s">
        <v>82</v>
      </c>
      <c r="S54" t="s">
        <v>82</v>
      </c>
      <c r="T54">
        <v>91</v>
      </c>
      <c r="U54" t="s">
        <v>83</v>
      </c>
      <c r="V54" t="s">
        <v>194</v>
      </c>
    </row>
    <row r="55" spans="1:22" x14ac:dyDescent="0.3">
      <c r="A55">
        <v>56</v>
      </c>
      <c r="B55" t="s">
        <v>195</v>
      </c>
      <c r="C55" t="s">
        <v>269</v>
      </c>
      <c r="D55" t="s">
        <v>38</v>
      </c>
      <c r="E55" t="s">
        <v>50</v>
      </c>
      <c r="F55" t="s">
        <v>25</v>
      </c>
      <c r="G55" t="s">
        <v>50</v>
      </c>
      <c r="H55" t="s">
        <v>26</v>
      </c>
      <c r="I55">
        <v>155</v>
      </c>
      <c r="J55">
        <v>8</v>
      </c>
      <c r="K55">
        <v>147</v>
      </c>
      <c r="L55">
        <v>7</v>
      </c>
      <c r="M55" t="s">
        <v>27</v>
      </c>
      <c r="N55" t="s">
        <v>50</v>
      </c>
      <c r="P55">
        <v>3</v>
      </c>
      <c r="Q55">
        <v>0</v>
      </c>
      <c r="R55" t="s">
        <v>106</v>
      </c>
      <c r="S55" t="s">
        <v>147</v>
      </c>
      <c r="T55">
        <v>53</v>
      </c>
      <c r="U55" t="s">
        <v>158</v>
      </c>
      <c r="V55" t="s">
        <v>196</v>
      </c>
    </row>
    <row r="56" spans="1:22" x14ac:dyDescent="0.3">
      <c r="A56">
        <v>57</v>
      </c>
      <c r="B56" t="s">
        <v>197</v>
      </c>
      <c r="C56" t="s">
        <v>251</v>
      </c>
      <c r="D56" t="s">
        <v>23</v>
      </c>
      <c r="E56" t="s">
        <v>37</v>
      </c>
      <c r="F56" t="s">
        <v>25</v>
      </c>
      <c r="G56" t="s">
        <v>23</v>
      </c>
      <c r="H56" t="s">
        <v>71</v>
      </c>
      <c r="I56">
        <v>179</v>
      </c>
      <c r="J56">
        <v>6</v>
      </c>
      <c r="K56">
        <v>183</v>
      </c>
      <c r="L56">
        <v>8</v>
      </c>
      <c r="M56" t="s">
        <v>27</v>
      </c>
      <c r="N56" t="s">
        <v>37</v>
      </c>
      <c r="P56">
        <v>2</v>
      </c>
      <c r="Q56">
        <v>2</v>
      </c>
      <c r="R56" t="s">
        <v>39</v>
      </c>
      <c r="S56" t="s">
        <v>198</v>
      </c>
      <c r="T56">
        <v>52</v>
      </c>
      <c r="U56" t="s">
        <v>39</v>
      </c>
      <c r="V56" t="s">
        <v>199</v>
      </c>
    </row>
    <row r="57" spans="1:22" x14ac:dyDescent="0.3">
      <c r="A57">
        <v>59</v>
      </c>
      <c r="B57" t="s">
        <v>200</v>
      </c>
      <c r="C57" t="s">
        <v>267</v>
      </c>
      <c r="D57" t="s">
        <v>33</v>
      </c>
      <c r="E57" t="s">
        <v>51</v>
      </c>
      <c r="F57" t="s">
        <v>25</v>
      </c>
      <c r="G57" t="s">
        <v>51</v>
      </c>
      <c r="H57" t="s">
        <v>71</v>
      </c>
      <c r="I57">
        <v>219</v>
      </c>
      <c r="J57">
        <v>5</v>
      </c>
      <c r="K57">
        <v>209</v>
      </c>
      <c r="L57">
        <v>7</v>
      </c>
      <c r="M57" t="s">
        <v>27</v>
      </c>
      <c r="N57" t="s">
        <v>51</v>
      </c>
      <c r="O57">
        <v>10</v>
      </c>
      <c r="Q57">
        <v>0</v>
      </c>
      <c r="R57" t="s">
        <v>201</v>
      </c>
      <c r="S57" t="s">
        <v>202</v>
      </c>
      <c r="T57">
        <v>70</v>
      </c>
      <c r="U57" t="s">
        <v>201</v>
      </c>
      <c r="V57" t="s">
        <v>92</v>
      </c>
    </row>
    <row r="58" spans="1:22" x14ac:dyDescent="0.3">
      <c r="A58">
        <v>60</v>
      </c>
      <c r="B58" t="s">
        <v>200</v>
      </c>
      <c r="C58" t="s">
        <v>246</v>
      </c>
      <c r="D58" t="s">
        <v>43</v>
      </c>
      <c r="E58" t="s">
        <v>50</v>
      </c>
      <c r="F58" t="s">
        <v>25</v>
      </c>
      <c r="G58" t="s">
        <v>50</v>
      </c>
      <c r="H58" t="s">
        <v>26</v>
      </c>
      <c r="I58">
        <v>199</v>
      </c>
      <c r="J58">
        <v>3</v>
      </c>
      <c r="K58">
        <v>205</v>
      </c>
      <c r="L58">
        <v>0</v>
      </c>
      <c r="M58" t="s">
        <v>27</v>
      </c>
      <c r="N58" t="s">
        <v>50</v>
      </c>
      <c r="P58">
        <v>10</v>
      </c>
      <c r="Q58">
        <v>6</v>
      </c>
      <c r="R58" t="s">
        <v>68</v>
      </c>
      <c r="S58" t="s">
        <v>68</v>
      </c>
      <c r="T58">
        <v>108</v>
      </c>
      <c r="U58" t="s">
        <v>203</v>
      </c>
      <c r="V58" t="s">
        <v>204</v>
      </c>
    </row>
    <row r="59" spans="1:22" x14ac:dyDescent="0.3">
      <c r="A59">
        <v>61</v>
      </c>
      <c r="B59" t="s">
        <v>205</v>
      </c>
      <c r="C59" t="s">
        <v>253</v>
      </c>
      <c r="D59" t="s">
        <v>44</v>
      </c>
      <c r="E59" t="s">
        <v>32</v>
      </c>
      <c r="F59" t="s">
        <v>25</v>
      </c>
      <c r="G59" t="s">
        <v>32</v>
      </c>
      <c r="H59" t="s">
        <v>26</v>
      </c>
      <c r="I59">
        <v>205</v>
      </c>
      <c r="J59">
        <v>7</v>
      </c>
      <c r="K59">
        <v>206</v>
      </c>
      <c r="L59">
        <v>4</v>
      </c>
      <c r="M59" t="s">
        <v>27</v>
      </c>
      <c r="N59" t="s">
        <v>32</v>
      </c>
      <c r="P59">
        <v>6</v>
      </c>
      <c r="Q59">
        <v>10</v>
      </c>
      <c r="R59" t="s">
        <v>126</v>
      </c>
      <c r="S59" t="s">
        <v>206</v>
      </c>
      <c r="T59">
        <v>65</v>
      </c>
      <c r="U59" t="s">
        <v>207</v>
      </c>
      <c r="V59" t="s">
        <v>208</v>
      </c>
    </row>
    <row r="60" spans="1:22" x14ac:dyDescent="0.3">
      <c r="A60">
        <v>62</v>
      </c>
      <c r="B60" t="s">
        <v>209</v>
      </c>
      <c r="C60" t="s">
        <v>246</v>
      </c>
      <c r="D60" t="s">
        <v>37</v>
      </c>
      <c r="E60" t="s">
        <v>33</v>
      </c>
      <c r="F60" t="s">
        <v>25</v>
      </c>
      <c r="G60" t="s">
        <v>33</v>
      </c>
      <c r="H60" t="s">
        <v>26</v>
      </c>
      <c r="I60">
        <v>187</v>
      </c>
      <c r="J60">
        <v>8</v>
      </c>
      <c r="K60">
        <v>188</v>
      </c>
      <c r="L60">
        <v>4</v>
      </c>
      <c r="M60" t="s">
        <v>27</v>
      </c>
      <c r="N60" t="s">
        <v>33</v>
      </c>
      <c r="P60">
        <v>6</v>
      </c>
      <c r="Q60">
        <v>17</v>
      </c>
      <c r="R60" t="s">
        <v>210</v>
      </c>
      <c r="S60" t="s">
        <v>174</v>
      </c>
      <c r="T60">
        <v>57</v>
      </c>
      <c r="U60" t="s">
        <v>210</v>
      </c>
      <c r="V60" t="s">
        <v>30</v>
      </c>
    </row>
    <row r="61" spans="1:22" x14ac:dyDescent="0.3">
      <c r="A61">
        <v>63</v>
      </c>
      <c r="B61" t="s">
        <v>211</v>
      </c>
      <c r="C61" t="s">
        <v>269</v>
      </c>
      <c r="D61" t="s">
        <v>38</v>
      </c>
      <c r="E61" t="s">
        <v>43</v>
      </c>
      <c r="F61" t="s">
        <v>25</v>
      </c>
      <c r="G61" t="s">
        <v>43</v>
      </c>
      <c r="H61" t="s">
        <v>26</v>
      </c>
      <c r="I61">
        <v>180</v>
      </c>
      <c r="J61">
        <v>5</v>
      </c>
      <c r="K61">
        <v>121</v>
      </c>
      <c r="L61">
        <v>10</v>
      </c>
      <c r="M61" t="s">
        <v>27</v>
      </c>
      <c r="N61" t="s">
        <v>38</v>
      </c>
      <c r="O61">
        <v>59</v>
      </c>
      <c r="Q61">
        <v>10</v>
      </c>
      <c r="R61" t="s">
        <v>95</v>
      </c>
      <c r="S61" t="s">
        <v>95</v>
      </c>
      <c r="T61">
        <v>73</v>
      </c>
      <c r="U61" t="s">
        <v>212</v>
      </c>
      <c r="V61" t="s">
        <v>213</v>
      </c>
    </row>
    <row r="62" spans="1:22" x14ac:dyDescent="0.3">
      <c r="A62">
        <v>64</v>
      </c>
      <c r="B62" t="s">
        <v>214</v>
      </c>
      <c r="C62" t="s">
        <v>261</v>
      </c>
      <c r="D62" t="s">
        <v>50</v>
      </c>
      <c r="E62" t="s">
        <v>44</v>
      </c>
      <c r="F62" t="s">
        <v>25</v>
      </c>
      <c r="G62" t="s">
        <v>50</v>
      </c>
      <c r="H62" t="s">
        <v>26</v>
      </c>
      <c r="I62">
        <v>235</v>
      </c>
      <c r="J62">
        <v>2</v>
      </c>
      <c r="K62">
        <v>202</v>
      </c>
      <c r="L62">
        <v>9</v>
      </c>
      <c r="M62" t="s">
        <v>27</v>
      </c>
      <c r="N62" t="s">
        <v>44</v>
      </c>
      <c r="O62">
        <v>33</v>
      </c>
      <c r="Q62">
        <v>0</v>
      </c>
      <c r="R62" t="s">
        <v>206</v>
      </c>
      <c r="S62" t="s">
        <v>206</v>
      </c>
      <c r="T62">
        <v>117</v>
      </c>
      <c r="U62" t="s">
        <v>215</v>
      </c>
      <c r="V62" t="s">
        <v>216</v>
      </c>
    </row>
    <row r="63" spans="1:22" x14ac:dyDescent="0.3">
      <c r="A63">
        <v>65</v>
      </c>
      <c r="B63" t="s">
        <v>217</v>
      </c>
      <c r="C63" t="s">
        <v>253</v>
      </c>
      <c r="D63" t="s">
        <v>24</v>
      </c>
      <c r="E63" t="s">
        <v>32</v>
      </c>
      <c r="F63" t="s">
        <v>25</v>
      </c>
      <c r="G63" t="s">
        <v>24</v>
      </c>
      <c r="H63" t="s">
        <v>26</v>
      </c>
      <c r="I63">
        <v>231</v>
      </c>
      <c r="J63">
        <v>6</v>
      </c>
      <c r="K63">
        <v>189</v>
      </c>
      <c r="L63">
        <v>10</v>
      </c>
      <c r="M63" t="s">
        <v>27</v>
      </c>
      <c r="N63" t="s">
        <v>32</v>
      </c>
      <c r="O63">
        <v>42</v>
      </c>
      <c r="Q63">
        <v>1</v>
      </c>
      <c r="R63" t="s">
        <v>34</v>
      </c>
      <c r="S63" t="s">
        <v>34</v>
      </c>
      <c r="T63">
        <v>94</v>
      </c>
      <c r="U63" t="s">
        <v>148</v>
      </c>
      <c r="V63" t="s">
        <v>218</v>
      </c>
    </row>
    <row r="64" spans="1:22" x14ac:dyDescent="0.3">
      <c r="A64">
        <v>66</v>
      </c>
      <c r="B64" t="s">
        <v>219</v>
      </c>
      <c r="C64" t="s">
        <v>267</v>
      </c>
      <c r="D64" t="s">
        <v>51</v>
      </c>
      <c r="E64" t="s">
        <v>43</v>
      </c>
      <c r="F64" t="s">
        <v>25</v>
      </c>
      <c r="G64" t="s">
        <v>43</v>
      </c>
      <c r="H64" t="s">
        <v>26</v>
      </c>
      <c r="I64">
        <v>206</v>
      </c>
      <c r="J64">
        <v>8</v>
      </c>
      <c r="K64">
        <v>208</v>
      </c>
      <c r="L64">
        <v>4</v>
      </c>
      <c r="M64" t="s">
        <v>27</v>
      </c>
      <c r="N64" t="s">
        <v>43</v>
      </c>
      <c r="P64">
        <v>6</v>
      </c>
      <c r="Q64">
        <v>3</v>
      </c>
      <c r="R64" t="s">
        <v>220</v>
      </c>
      <c r="S64" t="s">
        <v>220</v>
      </c>
      <c r="T64">
        <v>58</v>
      </c>
      <c r="U64" t="s">
        <v>221</v>
      </c>
      <c r="V64" t="s">
        <v>172</v>
      </c>
    </row>
    <row r="65" spans="1:22" x14ac:dyDescent="0.3">
      <c r="A65">
        <v>67</v>
      </c>
      <c r="B65" t="s">
        <v>222</v>
      </c>
      <c r="C65" t="s">
        <v>261</v>
      </c>
      <c r="D65" t="s">
        <v>50</v>
      </c>
      <c r="E65" t="s">
        <v>37</v>
      </c>
      <c r="F65" t="s">
        <v>25</v>
      </c>
      <c r="G65" t="s">
        <v>37</v>
      </c>
      <c r="H65" t="s">
        <v>71</v>
      </c>
      <c r="I65">
        <v>230</v>
      </c>
      <c r="J65">
        <v>5</v>
      </c>
      <c r="K65">
        <v>147</v>
      </c>
      <c r="L65">
        <v>10</v>
      </c>
      <c r="M65" t="s">
        <v>27</v>
      </c>
      <c r="N65" t="s">
        <v>37</v>
      </c>
      <c r="O65">
        <v>83</v>
      </c>
      <c r="Q65">
        <v>9</v>
      </c>
      <c r="R65" t="s">
        <v>198</v>
      </c>
      <c r="S65" t="s">
        <v>198</v>
      </c>
      <c r="T65">
        <v>57</v>
      </c>
      <c r="U65" t="s">
        <v>39</v>
      </c>
      <c r="V65" t="s">
        <v>65</v>
      </c>
    </row>
    <row r="66" spans="1:22" x14ac:dyDescent="0.3">
      <c r="A66">
        <v>68</v>
      </c>
      <c r="B66" t="s">
        <v>222</v>
      </c>
      <c r="C66" t="s">
        <v>246</v>
      </c>
      <c r="D66" t="s">
        <v>23</v>
      </c>
      <c r="E66" t="s">
        <v>32</v>
      </c>
      <c r="F66" t="s">
        <v>25</v>
      </c>
      <c r="G66" t="s">
        <v>32</v>
      </c>
      <c r="H66" t="s">
        <v>71</v>
      </c>
      <c r="I66">
        <v>278</v>
      </c>
      <c r="J66">
        <v>3</v>
      </c>
      <c r="K66">
        <v>168</v>
      </c>
      <c r="L66">
        <v>10</v>
      </c>
      <c r="M66" t="s">
        <v>27</v>
      </c>
      <c r="N66" t="s">
        <v>32</v>
      </c>
      <c r="O66">
        <v>110</v>
      </c>
      <c r="Q66">
        <v>8</v>
      </c>
      <c r="R66" t="s">
        <v>165</v>
      </c>
      <c r="S66" t="s">
        <v>165</v>
      </c>
      <c r="T66">
        <v>105</v>
      </c>
      <c r="U66" t="s">
        <v>185</v>
      </c>
      <c r="V66" t="s">
        <v>117</v>
      </c>
    </row>
    <row r="67" spans="1:22" x14ac:dyDescent="0.3">
      <c r="A67">
        <v>69</v>
      </c>
      <c r="B67" t="s">
        <v>223</v>
      </c>
      <c r="C67" t="s">
        <v>267</v>
      </c>
      <c r="D67" t="s">
        <v>51</v>
      </c>
      <c r="E67" t="s">
        <v>38</v>
      </c>
      <c r="F67" t="s">
        <v>25</v>
      </c>
      <c r="G67" t="s">
        <v>51</v>
      </c>
      <c r="H67" t="s">
        <v>26</v>
      </c>
      <c r="I67">
        <v>184</v>
      </c>
      <c r="J67">
        <v>7</v>
      </c>
      <c r="K67">
        <v>187</v>
      </c>
      <c r="L67">
        <v>3</v>
      </c>
      <c r="M67" t="s">
        <v>27</v>
      </c>
      <c r="N67" t="s">
        <v>51</v>
      </c>
      <c r="P67">
        <v>7</v>
      </c>
      <c r="Q67">
        <v>9</v>
      </c>
      <c r="R67" t="s">
        <v>224</v>
      </c>
      <c r="S67" t="s">
        <v>224</v>
      </c>
      <c r="T67">
        <v>73</v>
      </c>
      <c r="U67" t="s">
        <v>83</v>
      </c>
      <c r="V67" t="s">
        <v>208</v>
      </c>
    </row>
    <row r="68" spans="1:22" x14ac:dyDescent="0.3">
      <c r="A68">
        <v>70</v>
      </c>
      <c r="B68" t="s">
        <v>225</v>
      </c>
      <c r="C68" t="s">
        <v>253</v>
      </c>
      <c r="D68" t="s">
        <v>44</v>
      </c>
      <c r="E68" t="s">
        <v>24</v>
      </c>
      <c r="F68" t="s">
        <v>25</v>
      </c>
      <c r="G68" t="s">
        <v>24</v>
      </c>
      <c r="H68" t="s">
        <v>26</v>
      </c>
      <c r="I68">
        <v>227</v>
      </c>
      <c r="J68">
        <v>3</v>
      </c>
      <c r="K68">
        <v>230</v>
      </c>
      <c r="L68">
        <v>4</v>
      </c>
      <c r="M68" t="s">
        <v>27</v>
      </c>
      <c r="N68" t="s">
        <v>24</v>
      </c>
      <c r="P68">
        <v>6</v>
      </c>
      <c r="Q68">
        <v>8</v>
      </c>
      <c r="R68" t="s">
        <v>226</v>
      </c>
      <c r="S68" t="s">
        <v>137</v>
      </c>
      <c r="T68">
        <v>118</v>
      </c>
      <c r="U68" t="s">
        <v>215</v>
      </c>
      <c r="V68" t="s">
        <v>227</v>
      </c>
    </row>
    <row r="69" spans="1:22" x14ac:dyDescent="0.3">
      <c r="A69">
        <v>71</v>
      </c>
      <c r="B69" t="s">
        <v>228</v>
      </c>
      <c r="C69" t="s">
        <v>263</v>
      </c>
      <c r="D69" t="s">
        <v>51</v>
      </c>
      <c r="E69" t="s">
        <v>24</v>
      </c>
      <c r="F69" t="s">
        <v>229</v>
      </c>
      <c r="G69" t="s">
        <v>24</v>
      </c>
      <c r="H69" t="s">
        <v>26</v>
      </c>
      <c r="I69">
        <v>101</v>
      </c>
      <c r="J69">
        <v>10</v>
      </c>
      <c r="K69">
        <v>106</v>
      </c>
      <c r="L69">
        <v>2</v>
      </c>
      <c r="M69" t="s">
        <v>27</v>
      </c>
      <c r="N69" t="s">
        <v>24</v>
      </c>
      <c r="P69">
        <v>8</v>
      </c>
      <c r="Q69">
        <v>60</v>
      </c>
      <c r="R69" t="s">
        <v>230</v>
      </c>
      <c r="S69" t="s">
        <v>130</v>
      </c>
      <c r="T69">
        <v>56</v>
      </c>
      <c r="U69" t="s">
        <v>230</v>
      </c>
      <c r="V69" t="s">
        <v>231</v>
      </c>
    </row>
    <row r="70" spans="1:22" x14ac:dyDescent="0.3">
      <c r="A70">
        <v>72</v>
      </c>
      <c r="B70" t="s">
        <v>232</v>
      </c>
      <c r="C70" t="s">
        <v>263</v>
      </c>
      <c r="D70" t="s">
        <v>50</v>
      </c>
      <c r="E70" t="s">
        <v>38</v>
      </c>
      <c r="F70" t="s">
        <v>229</v>
      </c>
      <c r="G70" t="s">
        <v>38</v>
      </c>
      <c r="H70" t="s">
        <v>71</v>
      </c>
      <c r="I70">
        <v>228</v>
      </c>
      <c r="J70">
        <v>5</v>
      </c>
      <c r="K70">
        <v>208</v>
      </c>
      <c r="L70">
        <v>6</v>
      </c>
      <c r="M70" t="s">
        <v>27</v>
      </c>
      <c r="N70" t="s">
        <v>38</v>
      </c>
      <c r="O70">
        <v>20</v>
      </c>
      <c r="Q70">
        <v>0</v>
      </c>
      <c r="R70" t="s">
        <v>157</v>
      </c>
      <c r="S70" t="s">
        <v>157</v>
      </c>
      <c r="T70">
        <v>81</v>
      </c>
      <c r="U70" t="s">
        <v>53</v>
      </c>
      <c r="V70" t="s">
        <v>233</v>
      </c>
    </row>
    <row r="71" spans="1:22" x14ac:dyDescent="0.3">
      <c r="A71">
        <v>73</v>
      </c>
      <c r="B71" t="s">
        <v>234</v>
      </c>
      <c r="C71" t="s">
        <v>261</v>
      </c>
      <c r="D71" t="s">
        <v>51</v>
      </c>
      <c r="E71" t="s">
        <v>38</v>
      </c>
      <c r="F71" t="s">
        <v>229</v>
      </c>
      <c r="G71" t="s">
        <v>51</v>
      </c>
      <c r="H71" t="s">
        <v>26</v>
      </c>
      <c r="I71">
        <v>203</v>
      </c>
      <c r="J71">
        <v>6</v>
      </c>
      <c r="K71">
        <v>207</v>
      </c>
      <c r="L71">
        <v>5</v>
      </c>
      <c r="M71" t="s">
        <v>27</v>
      </c>
      <c r="N71" t="s">
        <v>51</v>
      </c>
      <c r="P71">
        <v>5</v>
      </c>
      <c r="Q71">
        <v>6</v>
      </c>
      <c r="R71" t="s">
        <v>52</v>
      </c>
      <c r="S71" t="s">
        <v>52</v>
      </c>
      <c r="T71">
        <v>87</v>
      </c>
      <c r="U71" t="s">
        <v>235</v>
      </c>
      <c r="V71" t="s">
        <v>236</v>
      </c>
    </row>
    <row r="72" spans="1:22" x14ac:dyDescent="0.3">
      <c r="A72">
        <v>74</v>
      </c>
      <c r="B72" t="s">
        <v>237</v>
      </c>
      <c r="C72" t="s">
        <v>261</v>
      </c>
      <c r="D72" t="s">
        <v>24</v>
      </c>
      <c r="E72" t="s">
        <v>51</v>
      </c>
      <c r="F72" t="s">
        <v>238</v>
      </c>
      <c r="G72" t="s">
        <v>51</v>
      </c>
      <c r="H72" t="s">
        <v>26</v>
      </c>
      <c r="I72">
        <v>190</v>
      </c>
      <c r="J72">
        <v>9</v>
      </c>
      <c r="K72">
        <v>184</v>
      </c>
      <c r="L72">
        <v>7</v>
      </c>
      <c r="M72" t="s">
        <v>27</v>
      </c>
      <c r="N72" t="s">
        <v>24</v>
      </c>
      <c r="O72">
        <v>6</v>
      </c>
      <c r="Q72">
        <v>0</v>
      </c>
      <c r="R72" t="s">
        <v>28</v>
      </c>
      <c r="S72" t="s">
        <v>239</v>
      </c>
      <c r="T72">
        <v>61</v>
      </c>
      <c r="U72" t="s">
        <v>83</v>
      </c>
      <c r="V72" t="s">
        <v>240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A64E-8C99-47AF-B96B-1B690DDDFA2C}">
  <dimension ref="A1:AA72"/>
  <sheetViews>
    <sheetView tabSelected="1" topLeftCell="N1" workbookViewId="0">
      <selection activeCell="AA3" sqref="AA3"/>
    </sheetView>
  </sheetViews>
  <sheetFormatPr defaultRowHeight="14.4" x14ac:dyDescent="0.3"/>
  <cols>
    <col min="1" max="1" width="11" bestFit="1" customWidth="1"/>
    <col min="2" max="2" width="13.109375" bestFit="1" customWidth="1"/>
    <col min="3" max="3" width="14.5546875" bestFit="1" customWidth="1"/>
    <col min="4" max="5" width="8.5546875" bestFit="1" customWidth="1"/>
    <col min="7" max="7" width="13" bestFit="1" customWidth="1"/>
    <col min="8" max="8" width="14.5546875" bestFit="1" customWidth="1"/>
    <col min="13" max="13" width="14.109375" bestFit="1" customWidth="1"/>
    <col min="14" max="14" width="14.88671875" bestFit="1" customWidth="1"/>
    <col min="23" max="23" width="20.33203125" bestFit="1" customWidth="1"/>
    <col min="24" max="25" width="14.77734375" bestFit="1" customWidth="1"/>
    <col min="26" max="26" width="18.6640625" bestFit="1" customWidth="1"/>
    <col min="27" max="27" width="16.109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270</v>
      </c>
      <c r="X1" t="s">
        <v>271</v>
      </c>
      <c r="Y1" t="s">
        <v>272</v>
      </c>
      <c r="Z1" t="s">
        <v>273</v>
      </c>
      <c r="AA1" t="s">
        <v>274</v>
      </c>
    </row>
    <row r="2" spans="1:27" x14ac:dyDescent="0.3">
      <c r="A2">
        <v>1</v>
      </c>
      <c r="B2" t="s">
        <v>22</v>
      </c>
      <c r="C2" t="s">
        <v>251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>
        <v>174</v>
      </c>
      <c r="J2">
        <v>8</v>
      </c>
      <c r="K2">
        <v>177</v>
      </c>
      <c r="L2">
        <v>3</v>
      </c>
      <c r="M2" t="s">
        <v>27</v>
      </c>
      <c r="N2" t="s">
        <v>24</v>
      </c>
      <c r="P2">
        <v>7</v>
      </c>
      <c r="Q2">
        <v>22</v>
      </c>
      <c r="R2" t="s">
        <v>28</v>
      </c>
      <c r="S2" t="s">
        <v>29</v>
      </c>
      <c r="T2">
        <v>59</v>
      </c>
      <c r="U2" t="s">
        <v>28</v>
      </c>
      <c r="V2" t="s">
        <v>30</v>
      </c>
      <c r="W2">
        <f>IF(Table13[[#This Row],[toss_winner]]=Table13[[#This Row],[match_winner]],1,0)</f>
        <v>1</v>
      </c>
      <c r="X2" t="str">
        <f>IF(Table13[[#This Row],[toss_winner]]=Table13[[#This Row],[match_winner]],"Toss Winner Won","Toss Winner Lost")</f>
        <v>Toss Winner Won</v>
      </c>
      <c r="Y2" t="str">
        <f>IF(Table13[[#This Row],[toss_decision]]="Bat","Bat First","Bowl First")</f>
        <v>Bowl First</v>
      </c>
      <c r="Z2" s="1" t="str">
        <f>IF(Table13[[#This Row],[match_winner]]=Table13[[#This Row],[team1]],"Team1 Win","Team2 Win")</f>
        <v>Team2 Win</v>
      </c>
      <c r="AA2" s="1" t="str">
        <f>IF(Table13[[#This Row],[toss_winner]]=Table13[[#This Row],[match_winner]],Table13[[#This Row],[venue]],"No Advantage")</f>
        <v>Kolkata</v>
      </c>
    </row>
    <row r="3" spans="1:27" x14ac:dyDescent="0.3">
      <c r="A3">
        <v>2</v>
      </c>
      <c r="B3" t="s">
        <v>31</v>
      </c>
      <c r="C3" t="s">
        <v>263</v>
      </c>
      <c r="D3" t="s">
        <v>32</v>
      </c>
      <c r="E3" t="s">
        <v>33</v>
      </c>
      <c r="F3" t="s">
        <v>25</v>
      </c>
      <c r="G3" t="s">
        <v>33</v>
      </c>
      <c r="H3" t="s">
        <v>26</v>
      </c>
      <c r="I3">
        <v>286</v>
      </c>
      <c r="J3">
        <v>6</v>
      </c>
      <c r="K3">
        <v>242</v>
      </c>
      <c r="L3">
        <v>6</v>
      </c>
      <c r="M3" t="s">
        <v>27</v>
      </c>
      <c r="N3" t="s">
        <v>32</v>
      </c>
      <c r="O3">
        <v>44</v>
      </c>
      <c r="Q3">
        <v>0</v>
      </c>
      <c r="R3" t="s">
        <v>34</v>
      </c>
      <c r="S3" t="s">
        <v>34</v>
      </c>
      <c r="T3">
        <v>106</v>
      </c>
      <c r="U3" t="s">
        <v>35</v>
      </c>
      <c r="V3" t="s">
        <v>36</v>
      </c>
      <c r="W3">
        <f>IF(Table13[[#This Row],[toss_winner]]=Table13[[#This Row],[match_winner]],1,0)</f>
        <v>0</v>
      </c>
      <c r="X3" t="str">
        <f>IF(Table13[[#This Row],[toss_winner]]=Table13[[#This Row],[match_winner]],"Toss Winner Won","Toss Winner Lost")</f>
        <v>Toss Winner Lost</v>
      </c>
      <c r="Y3" t="str">
        <f>IF(Table13[[#This Row],[toss_decision]]="Bat","Bat First","Bowl First")</f>
        <v>Bowl First</v>
      </c>
      <c r="Z3" s="1" t="str">
        <f>IF(Table13[[#This Row],[match_winner]]=Table13[[#This Row],[team1]],"Team1 Win","Team2 Win")</f>
        <v>Team1 Win</v>
      </c>
      <c r="AA3" s="1" t="str">
        <f>IF(Table13[[#This Row],[toss_winner]]=Table13[[#This Row],[match_winner]],Table13[[#This Row],[venue]],"No Advantage")</f>
        <v>No Advantage</v>
      </c>
    </row>
    <row r="4" spans="1:27" x14ac:dyDescent="0.3">
      <c r="A4">
        <v>3</v>
      </c>
      <c r="B4" t="s">
        <v>31</v>
      </c>
      <c r="C4" t="s">
        <v>259</v>
      </c>
      <c r="D4" t="s">
        <v>37</v>
      </c>
      <c r="E4" t="s">
        <v>38</v>
      </c>
      <c r="F4" t="s">
        <v>25</v>
      </c>
      <c r="G4" t="s">
        <v>37</v>
      </c>
      <c r="H4" t="s">
        <v>26</v>
      </c>
      <c r="I4">
        <v>155</v>
      </c>
      <c r="J4">
        <v>9</v>
      </c>
      <c r="K4">
        <v>158</v>
      </c>
      <c r="L4">
        <v>6</v>
      </c>
      <c r="M4" t="s">
        <v>27</v>
      </c>
      <c r="N4" t="s">
        <v>37</v>
      </c>
      <c r="P4">
        <v>4</v>
      </c>
      <c r="Q4">
        <v>5</v>
      </c>
      <c r="R4" t="s">
        <v>39</v>
      </c>
      <c r="S4" t="s">
        <v>40</v>
      </c>
      <c r="T4">
        <v>65</v>
      </c>
      <c r="U4" t="s">
        <v>39</v>
      </c>
      <c r="V4" t="s">
        <v>41</v>
      </c>
      <c r="W4">
        <f>IF(Table13[[#This Row],[toss_winner]]=Table13[[#This Row],[match_winner]],1,0)</f>
        <v>1</v>
      </c>
      <c r="X4" t="str">
        <f>IF(Table13[[#This Row],[toss_winner]]=Table13[[#This Row],[match_winner]],"Toss Winner Won","Toss Winner Lost")</f>
        <v>Toss Winner Won</v>
      </c>
      <c r="Y4" t="str">
        <f>IF(Table13[[#This Row],[toss_decision]]="Bat","Bat First","Bowl First")</f>
        <v>Bowl First</v>
      </c>
      <c r="Z4" s="1" t="str">
        <f>IF(Table13[[#This Row],[match_winner]]=Table13[[#This Row],[team1]],"Team1 Win","Team2 Win")</f>
        <v>Team1 Win</v>
      </c>
      <c r="AA4" s="1" t="str">
        <f>IF(Table13[[#This Row],[toss_winner]]=Table13[[#This Row],[match_winner]],Table13[[#This Row],[venue]],"No Advantage")</f>
        <v>Chennai</v>
      </c>
    </row>
    <row r="5" spans="1:27" x14ac:dyDescent="0.3">
      <c r="A5">
        <v>4</v>
      </c>
      <c r="B5" t="s">
        <v>42</v>
      </c>
      <c r="C5" t="s">
        <v>245</v>
      </c>
      <c r="D5" t="s">
        <v>43</v>
      </c>
      <c r="E5" t="s">
        <v>44</v>
      </c>
      <c r="F5" t="s">
        <v>25</v>
      </c>
      <c r="G5" t="s">
        <v>43</v>
      </c>
      <c r="H5" t="s">
        <v>26</v>
      </c>
      <c r="I5">
        <v>209</v>
      </c>
      <c r="J5">
        <v>8</v>
      </c>
      <c r="K5">
        <v>211</v>
      </c>
      <c r="L5">
        <v>9</v>
      </c>
      <c r="M5" t="s">
        <v>27</v>
      </c>
      <c r="N5" t="s">
        <v>43</v>
      </c>
      <c r="P5">
        <v>1</v>
      </c>
      <c r="Q5">
        <v>3</v>
      </c>
      <c r="R5" t="s">
        <v>45</v>
      </c>
      <c r="S5" t="s">
        <v>46</v>
      </c>
      <c r="T5">
        <v>75</v>
      </c>
      <c r="U5" t="s">
        <v>47</v>
      </c>
      <c r="V5" t="s">
        <v>48</v>
      </c>
      <c r="W5">
        <f>IF(Table13[[#This Row],[toss_winner]]=Table13[[#This Row],[match_winner]],1,0)</f>
        <v>1</v>
      </c>
      <c r="X5" t="str">
        <f>IF(Table13[[#This Row],[toss_winner]]=Table13[[#This Row],[match_winner]],"Toss Winner Won","Toss Winner Lost")</f>
        <v>Toss Winner Won</v>
      </c>
      <c r="Y5" t="str">
        <f>IF(Table13[[#This Row],[toss_decision]]="Bat","Bat First","Bowl First")</f>
        <v>Bowl First</v>
      </c>
      <c r="Z5" s="1" t="str">
        <f>IF(Table13[[#This Row],[match_winner]]=Table13[[#This Row],[team1]],"Team1 Win","Team2 Win")</f>
        <v>Team1 Win</v>
      </c>
      <c r="AA5" s="1" t="str">
        <f>IF(Table13[[#This Row],[toss_winner]]=Table13[[#This Row],[match_winner]],Table13[[#This Row],[venue]],"No Advantage")</f>
        <v>Vishakhapatnam</v>
      </c>
    </row>
    <row r="6" spans="1:27" x14ac:dyDescent="0.3">
      <c r="A6">
        <v>5</v>
      </c>
      <c r="B6" t="s">
        <v>49</v>
      </c>
      <c r="C6" t="s">
        <v>261</v>
      </c>
      <c r="D6" t="s">
        <v>50</v>
      </c>
      <c r="E6" t="s">
        <v>51</v>
      </c>
      <c r="F6" t="s">
        <v>25</v>
      </c>
      <c r="G6" t="s">
        <v>50</v>
      </c>
      <c r="H6" t="s">
        <v>26</v>
      </c>
      <c r="I6">
        <v>243</v>
      </c>
      <c r="J6">
        <v>5</v>
      </c>
      <c r="K6">
        <v>232</v>
      </c>
      <c r="L6">
        <v>5</v>
      </c>
      <c r="M6" t="s">
        <v>27</v>
      </c>
      <c r="N6" t="s">
        <v>51</v>
      </c>
      <c r="O6">
        <v>11</v>
      </c>
      <c r="Q6">
        <v>0</v>
      </c>
      <c r="R6" t="s">
        <v>52</v>
      </c>
      <c r="S6" t="s">
        <v>52</v>
      </c>
      <c r="T6">
        <v>97</v>
      </c>
      <c r="U6" t="s">
        <v>53</v>
      </c>
      <c r="V6" t="s">
        <v>54</v>
      </c>
      <c r="W6">
        <f>IF(Table13[[#This Row],[toss_winner]]=Table13[[#This Row],[match_winner]],1,0)</f>
        <v>0</v>
      </c>
      <c r="X6" t="str">
        <f>IF(Table13[[#This Row],[toss_winner]]=Table13[[#This Row],[match_winner]],"Toss Winner Won","Toss Winner Lost")</f>
        <v>Toss Winner Lost</v>
      </c>
      <c r="Y6" t="str">
        <f>IF(Table13[[#This Row],[toss_decision]]="Bat","Bat First","Bowl First")</f>
        <v>Bowl First</v>
      </c>
      <c r="Z6" s="1" t="str">
        <f>IF(Table13[[#This Row],[match_winner]]=Table13[[#This Row],[team1]],"Team1 Win","Team2 Win")</f>
        <v>Team2 Win</v>
      </c>
      <c r="AA6" s="1" t="str">
        <f>IF(Table13[[#This Row],[toss_winner]]=Table13[[#This Row],[match_winner]],Table13[[#This Row],[venue]],"No Advantage")</f>
        <v>No Advantage</v>
      </c>
    </row>
    <row r="7" spans="1:27" x14ac:dyDescent="0.3">
      <c r="A7">
        <v>6</v>
      </c>
      <c r="B7" t="s">
        <v>55</v>
      </c>
      <c r="C7" t="s">
        <v>248</v>
      </c>
      <c r="D7" t="s">
        <v>33</v>
      </c>
      <c r="E7" t="s">
        <v>23</v>
      </c>
      <c r="F7" t="s">
        <v>25</v>
      </c>
      <c r="G7" t="s">
        <v>23</v>
      </c>
      <c r="H7" t="s">
        <v>26</v>
      </c>
      <c r="I7">
        <v>151</v>
      </c>
      <c r="J7">
        <v>9</v>
      </c>
      <c r="K7">
        <v>153</v>
      </c>
      <c r="L7">
        <v>2</v>
      </c>
      <c r="M7" t="s">
        <v>27</v>
      </c>
      <c r="N7" t="s">
        <v>23</v>
      </c>
      <c r="P7">
        <v>8</v>
      </c>
      <c r="Q7">
        <v>15</v>
      </c>
      <c r="R7" t="s">
        <v>56</v>
      </c>
      <c r="S7" t="s">
        <v>56</v>
      </c>
      <c r="T7">
        <v>97</v>
      </c>
      <c r="U7" t="s">
        <v>57</v>
      </c>
      <c r="V7" t="s">
        <v>58</v>
      </c>
      <c r="W7">
        <f>IF(Table13[[#This Row],[toss_winner]]=Table13[[#This Row],[match_winner]],1,0)</f>
        <v>1</v>
      </c>
      <c r="X7" t="str">
        <f>IF(Table13[[#This Row],[toss_winner]]=Table13[[#This Row],[match_winner]],"Toss Winner Won","Toss Winner Lost")</f>
        <v>Toss Winner Won</v>
      </c>
      <c r="Y7" t="str">
        <f>IF(Table13[[#This Row],[toss_decision]]="Bat","Bat First","Bowl First")</f>
        <v>Bowl First</v>
      </c>
      <c r="Z7" s="1" t="str">
        <f>IF(Table13[[#This Row],[match_winner]]=Table13[[#This Row],[team1]],"Team1 Win","Team2 Win")</f>
        <v>Team2 Win</v>
      </c>
      <c r="AA7" s="1" t="str">
        <f>IF(Table13[[#This Row],[toss_winner]]=Table13[[#This Row],[match_winner]],Table13[[#This Row],[venue]],"No Advantage")</f>
        <v>Guwahati</v>
      </c>
    </row>
    <row r="8" spans="1:27" x14ac:dyDescent="0.3">
      <c r="A8">
        <v>7</v>
      </c>
      <c r="B8" t="s">
        <v>59</v>
      </c>
      <c r="C8" t="s">
        <v>263</v>
      </c>
      <c r="D8" t="s">
        <v>32</v>
      </c>
      <c r="E8" t="s">
        <v>44</v>
      </c>
      <c r="F8" t="s">
        <v>25</v>
      </c>
      <c r="G8" t="s">
        <v>44</v>
      </c>
      <c r="H8" t="s">
        <v>26</v>
      </c>
      <c r="I8">
        <v>190</v>
      </c>
      <c r="J8">
        <v>9</v>
      </c>
      <c r="K8">
        <v>193</v>
      </c>
      <c r="L8">
        <v>5</v>
      </c>
      <c r="M8" t="s">
        <v>27</v>
      </c>
      <c r="N8" t="s">
        <v>44</v>
      </c>
      <c r="P8">
        <v>5</v>
      </c>
      <c r="Q8">
        <v>23</v>
      </c>
      <c r="R8" t="s">
        <v>60</v>
      </c>
      <c r="S8" t="s">
        <v>46</v>
      </c>
      <c r="T8">
        <v>70</v>
      </c>
      <c r="U8" t="s">
        <v>60</v>
      </c>
      <c r="V8" t="s">
        <v>61</v>
      </c>
      <c r="W8">
        <f>IF(Table13[[#This Row],[toss_winner]]=Table13[[#This Row],[match_winner]],1,0)</f>
        <v>1</v>
      </c>
      <c r="X8" t="str">
        <f>IF(Table13[[#This Row],[toss_winner]]=Table13[[#This Row],[match_winner]],"Toss Winner Won","Toss Winner Lost")</f>
        <v>Toss Winner Won</v>
      </c>
      <c r="Y8" t="str">
        <f>IF(Table13[[#This Row],[toss_decision]]="Bat","Bat First","Bowl First")</f>
        <v>Bowl First</v>
      </c>
      <c r="Z8" s="1" t="str">
        <f>IF(Table13[[#This Row],[match_winner]]=Table13[[#This Row],[team1]],"Team1 Win","Team2 Win")</f>
        <v>Team2 Win</v>
      </c>
      <c r="AA8" s="1" t="str">
        <f>IF(Table13[[#This Row],[toss_winner]]=Table13[[#This Row],[match_winner]],Table13[[#This Row],[venue]],"No Advantage")</f>
        <v>Mullanpur</v>
      </c>
    </row>
    <row r="9" spans="1:27" x14ac:dyDescent="0.3">
      <c r="A9">
        <v>8</v>
      </c>
      <c r="B9" t="s">
        <v>62</v>
      </c>
      <c r="C9" t="s">
        <v>259</v>
      </c>
      <c r="D9" t="s">
        <v>37</v>
      </c>
      <c r="E9" t="s">
        <v>24</v>
      </c>
      <c r="F9" t="s">
        <v>25</v>
      </c>
      <c r="G9" t="s">
        <v>37</v>
      </c>
      <c r="H9" t="s">
        <v>26</v>
      </c>
      <c r="I9">
        <v>196</v>
      </c>
      <c r="J9">
        <v>7</v>
      </c>
      <c r="K9">
        <v>146</v>
      </c>
      <c r="L9">
        <v>8</v>
      </c>
      <c r="M9" t="s">
        <v>27</v>
      </c>
      <c r="N9" t="s">
        <v>24</v>
      </c>
      <c r="O9">
        <v>50</v>
      </c>
      <c r="Q9">
        <v>0</v>
      </c>
      <c r="R9" t="s">
        <v>63</v>
      </c>
      <c r="S9" t="s">
        <v>63</v>
      </c>
      <c r="T9">
        <v>51</v>
      </c>
      <c r="U9" t="s">
        <v>64</v>
      </c>
      <c r="V9" t="s">
        <v>65</v>
      </c>
      <c r="W9">
        <f>IF(Table13[[#This Row],[toss_winner]]=Table13[[#This Row],[match_winner]],1,0)</f>
        <v>0</v>
      </c>
      <c r="X9" t="str">
        <f>IF(Table13[[#This Row],[toss_winner]]=Table13[[#This Row],[match_winner]],"Toss Winner Won","Toss Winner Lost")</f>
        <v>Toss Winner Lost</v>
      </c>
      <c r="Y9" t="str">
        <f>IF(Table13[[#This Row],[toss_decision]]="Bat","Bat First","Bowl First")</f>
        <v>Bowl First</v>
      </c>
      <c r="Z9" s="1" t="str">
        <f>IF(Table13[[#This Row],[match_winner]]=Table13[[#This Row],[team1]],"Team1 Win","Team2 Win")</f>
        <v>Team2 Win</v>
      </c>
      <c r="AA9" s="1" t="str">
        <f>IF(Table13[[#This Row],[toss_winner]]=Table13[[#This Row],[match_winner]],Table13[[#This Row],[venue]],"No Advantage")</f>
        <v>No Advantage</v>
      </c>
    </row>
    <row r="10" spans="1:27" x14ac:dyDescent="0.3">
      <c r="A10">
        <v>9</v>
      </c>
      <c r="B10" t="s">
        <v>66</v>
      </c>
      <c r="C10" t="s">
        <v>261</v>
      </c>
      <c r="D10" t="s">
        <v>50</v>
      </c>
      <c r="E10" t="s">
        <v>38</v>
      </c>
      <c r="F10" t="s">
        <v>25</v>
      </c>
      <c r="G10" t="s">
        <v>38</v>
      </c>
      <c r="H10" t="s">
        <v>26</v>
      </c>
      <c r="I10">
        <v>196</v>
      </c>
      <c r="J10">
        <v>8</v>
      </c>
      <c r="K10">
        <v>160</v>
      </c>
      <c r="L10">
        <v>6</v>
      </c>
      <c r="M10" t="s">
        <v>27</v>
      </c>
      <c r="N10" t="s">
        <v>50</v>
      </c>
      <c r="O10">
        <v>36</v>
      </c>
      <c r="Q10">
        <v>0</v>
      </c>
      <c r="R10" t="s">
        <v>67</v>
      </c>
      <c r="S10" t="s">
        <v>68</v>
      </c>
      <c r="T10">
        <v>63</v>
      </c>
      <c r="U10" t="s">
        <v>67</v>
      </c>
      <c r="V10" t="s">
        <v>69</v>
      </c>
      <c r="W10">
        <f>IF(Table13[[#This Row],[toss_winner]]=Table13[[#This Row],[match_winner]],1,0)</f>
        <v>0</v>
      </c>
      <c r="X10" t="str">
        <f>IF(Table13[[#This Row],[toss_winner]]=Table13[[#This Row],[match_winner]],"Toss Winner Won","Toss Winner Lost")</f>
        <v>Toss Winner Lost</v>
      </c>
      <c r="Y10" t="str">
        <f>IF(Table13[[#This Row],[toss_decision]]="Bat","Bat First","Bowl First")</f>
        <v>Bowl First</v>
      </c>
      <c r="Z10" s="1" t="str">
        <f>IF(Table13[[#This Row],[match_winner]]=Table13[[#This Row],[team1]],"Team1 Win","Team2 Win")</f>
        <v>Team1 Win</v>
      </c>
      <c r="AA10" s="1" t="str">
        <f>IF(Table13[[#This Row],[toss_winner]]=Table13[[#This Row],[match_winner]],Table13[[#This Row],[venue]],"No Advantage")</f>
        <v>No Advantage</v>
      </c>
    </row>
    <row r="11" spans="1:27" x14ac:dyDescent="0.3">
      <c r="A11">
        <v>10</v>
      </c>
      <c r="B11" t="s">
        <v>70</v>
      </c>
      <c r="C11" t="s">
        <v>245</v>
      </c>
      <c r="D11" t="s">
        <v>43</v>
      </c>
      <c r="E11" t="s">
        <v>32</v>
      </c>
      <c r="F11" t="s">
        <v>25</v>
      </c>
      <c r="G11" t="s">
        <v>32</v>
      </c>
      <c r="H11" t="s">
        <v>71</v>
      </c>
      <c r="I11">
        <v>163</v>
      </c>
      <c r="J11">
        <v>10</v>
      </c>
      <c r="K11">
        <v>166</v>
      </c>
      <c r="L11">
        <v>3</v>
      </c>
      <c r="M11" t="s">
        <v>27</v>
      </c>
      <c r="N11" t="s">
        <v>43</v>
      </c>
      <c r="P11">
        <v>7</v>
      </c>
      <c r="Q11">
        <v>24</v>
      </c>
      <c r="R11" t="s">
        <v>47</v>
      </c>
      <c r="S11" t="s">
        <v>72</v>
      </c>
      <c r="T11">
        <v>74</v>
      </c>
      <c r="U11" t="s">
        <v>47</v>
      </c>
      <c r="V11" t="s">
        <v>73</v>
      </c>
      <c r="W11">
        <f>IF(Table13[[#This Row],[toss_winner]]=Table13[[#This Row],[match_winner]],1,0)</f>
        <v>0</v>
      </c>
      <c r="X11" t="str">
        <f>IF(Table13[[#This Row],[toss_winner]]=Table13[[#This Row],[match_winner]],"Toss Winner Won","Toss Winner Lost")</f>
        <v>Toss Winner Lost</v>
      </c>
      <c r="Y11" t="str">
        <f>IF(Table13[[#This Row],[toss_decision]]="Bat","Bat First","Bowl First")</f>
        <v>Bat First</v>
      </c>
      <c r="Z11" s="1" t="str">
        <f>IF(Table13[[#This Row],[match_winner]]=Table13[[#This Row],[team1]],"Team1 Win","Team2 Win")</f>
        <v>Team1 Win</v>
      </c>
      <c r="AA11" s="1" t="str">
        <f>IF(Table13[[#This Row],[toss_winner]]=Table13[[#This Row],[match_winner]],Table13[[#This Row],[venue]],"No Advantage")</f>
        <v>No Advantage</v>
      </c>
    </row>
    <row r="12" spans="1:27" x14ac:dyDescent="0.3">
      <c r="A12">
        <v>11</v>
      </c>
      <c r="B12" t="s">
        <v>70</v>
      </c>
      <c r="C12" t="s">
        <v>248</v>
      </c>
      <c r="D12" t="s">
        <v>33</v>
      </c>
      <c r="E12" t="s">
        <v>37</v>
      </c>
      <c r="F12" t="s">
        <v>25</v>
      </c>
      <c r="G12" t="s">
        <v>37</v>
      </c>
      <c r="H12" t="s">
        <v>26</v>
      </c>
      <c r="I12">
        <v>182</v>
      </c>
      <c r="J12">
        <v>9</v>
      </c>
      <c r="K12">
        <v>176</v>
      </c>
      <c r="L12">
        <v>6</v>
      </c>
      <c r="M12" t="s">
        <v>27</v>
      </c>
      <c r="N12" t="s">
        <v>33</v>
      </c>
      <c r="O12">
        <v>6</v>
      </c>
      <c r="Q12">
        <v>0</v>
      </c>
      <c r="R12" t="s">
        <v>74</v>
      </c>
      <c r="S12" t="s">
        <v>74</v>
      </c>
      <c r="T12">
        <v>81</v>
      </c>
      <c r="U12" t="s">
        <v>75</v>
      </c>
      <c r="V12" t="s">
        <v>76</v>
      </c>
      <c r="W12">
        <f>IF(Table13[[#This Row],[toss_winner]]=Table13[[#This Row],[match_winner]],1,0)</f>
        <v>0</v>
      </c>
      <c r="X12" t="str">
        <f>IF(Table13[[#This Row],[toss_winner]]=Table13[[#This Row],[match_winner]],"Toss Winner Won","Toss Winner Lost")</f>
        <v>Toss Winner Lost</v>
      </c>
      <c r="Y12" t="str">
        <f>IF(Table13[[#This Row],[toss_decision]]="Bat","Bat First","Bowl First")</f>
        <v>Bowl First</v>
      </c>
      <c r="Z12" s="1" t="str">
        <f>IF(Table13[[#This Row],[match_winner]]=Table13[[#This Row],[team1]],"Team1 Win","Team2 Win")</f>
        <v>Team1 Win</v>
      </c>
      <c r="AA12" s="1" t="str">
        <f>IF(Table13[[#This Row],[toss_winner]]=Table13[[#This Row],[match_winner]],Table13[[#This Row],[venue]],"No Advantage")</f>
        <v>No Advantage</v>
      </c>
    </row>
    <row r="13" spans="1:27" x14ac:dyDescent="0.3">
      <c r="A13">
        <v>12</v>
      </c>
      <c r="B13" t="s">
        <v>77</v>
      </c>
      <c r="C13" t="s">
        <v>269</v>
      </c>
      <c r="D13" t="s">
        <v>38</v>
      </c>
      <c r="E13" t="s">
        <v>23</v>
      </c>
      <c r="F13" t="s">
        <v>25</v>
      </c>
      <c r="G13" t="s">
        <v>38</v>
      </c>
      <c r="H13" t="s">
        <v>26</v>
      </c>
      <c r="I13">
        <v>116</v>
      </c>
      <c r="J13">
        <v>10</v>
      </c>
      <c r="K13">
        <v>121</v>
      </c>
      <c r="L13">
        <v>2</v>
      </c>
      <c r="M13" t="s">
        <v>27</v>
      </c>
      <c r="N13" t="s">
        <v>38</v>
      </c>
      <c r="P13">
        <v>8</v>
      </c>
      <c r="Q13">
        <v>43</v>
      </c>
      <c r="R13" t="s">
        <v>78</v>
      </c>
      <c r="S13" t="s">
        <v>79</v>
      </c>
      <c r="T13">
        <v>62</v>
      </c>
      <c r="U13" t="s">
        <v>78</v>
      </c>
      <c r="V13" t="s">
        <v>80</v>
      </c>
      <c r="W13">
        <f>IF(Table13[[#This Row],[toss_winner]]=Table13[[#This Row],[match_winner]],1,0)</f>
        <v>1</v>
      </c>
      <c r="X13" t="str">
        <f>IF(Table13[[#This Row],[toss_winner]]=Table13[[#This Row],[match_winner]],"Toss Winner Won","Toss Winner Lost")</f>
        <v>Toss Winner Won</v>
      </c>
      <c r="Y13" t="str">
        <f>IF(Table13[[#This Row],[toss_decision]]="Bat","Bat First","Bowl First")</f>
        <v>Bowl First</v>
      </c>
      <c r="Z13" s="1" t="str">
        <f>IF(Table13[[#This Row],[match_winner]]=Table13[[#This Row],[team1]],"Team1 Win","Team2 Win")</f>
        <v>Team1 Win</v>
      </c>
      <c r="AA13" s="1" t="str">
        <f>IF(Table13[[#This Row],[toss_winner]]=Table13[[#This Row],[match_winner]],Table13[[#This Row],[venue]],"No Advantage")</f>
        <v>Mumbai</v>
      </c>
    </row>
    <row r="14" spans="1:27" x14ac:dyDescent="0.3">
      <c r="A14">
        <v>13</v>
      </c>
      <c r="B14" t="s">
        <v>81</v>
      </c>
      <c r="C14" t="s">
        <v>253</v>
      </c>
      <c r="D14" t="s">
        <v>44</v>
      </c>
      <c r="E14" t="s">
        <v>51</v>
      </c>
      <c r="F14" t="s">
        <v>25</v>
      </c>
      <c r="G14" t="s">
        <v>51</v>
      </c>
      <c r="H14" t="s">
        <v>26</v>
      </c>
      <c r="I14">
        <v>171</v>
      </c>
      <c r="J14">
        <v>7</v>
      </c>
      <c r="K14">
        <v>177</v>
      </c>
      <c r="L14">
        <v>2</v>
      </c>
      <c r="M14" t="s">
        <v>27</v>
      </c>
      <c r="N14" t="s">
        <v>51</v>
      </c>
      <c r="P14">
        <v>8</v>
      </c>
      <c r="Q14">
        <v>22</v>
      </c>
      <c r="R14" t="s">
        <v>82</v>
      </c>
      <c r="S14" t="s">
        <v>82</v>
      </c>
      <c r="T14">
        <v>69</v>
      </c>
      <c r="U14" t="s">
        <v>83</v>
      </c>
      <c r="V14" t="s">
        <v>84</v>
      </c>
      <c r="W14">
        <f>IF(Table13[[#This Row],[toss_winner]]=Table13[[#This Row],[match_winner]],1,0)</f>
        <v>1</v>
      </c>
      <c r="X14" t="str">
        <f>IF(Table13[[#This Row],[toss_winner]]=Table13[[#This Row],[match_winner]],"Toss Winner Won","Toss Winner Lost")</f>
        <v>Toss Winner Won</v>
      </c>
      <c r="Y14" t="str">
        <f>IF(Table13[[#This Row],[toss_decision]]="Bat","Bat First","Bowl First")</f>
        <v>Bowl First</v>
      </c>
      <c r="Z14" s="1" t="str">
        <f>IF(Table13[[#This Row],[match_winner]]=Table13[[#This Row],[team1]],"Team1 Win","Team2 Win")</f>
        <v>Team2 Win</v>
      </c>
      <c r="AA14" s="1" t="str">
        <f>IF(Table13[[#This Row],[toss_winner]]=Table13[[#This Row],[match_winner]],Table13[[#This Row],[venue]],"No Advantage")</f>
        <v>Lucknow</v>
      </c>
    </row>
    <row r="15" spans="1:27" x14ac:dyDescent="0.3">
      <c r="A15">
        <v>14</v>
      </c>
      <c r="B15" t="s">
        <v>85</v>
      </c>
      <c r="C15" t="s">
        <v>257</v>
      </c>
      <c r="D15" t="s">
        <v>24</v>
      </c>
      <c r="E15" t="s">
        <v>50</v>
      </c>
      <c r="F15" t="s">
        <v>25</v>
      </c>
      <c r="G15" t="s">
        <v>50</v>
      </c>
      <c r="H15" t="s">
        <v>26</v>
      </c>
      <c r="I15">
        <v>169</v>
      </c>
      <c r="J15">
        <v>8</v>
      </c>
      <c r="K15">
        <v>170</v>
      </c>
      <c r="L15">
        <v>2</v>
      </c>
      <c r="M15" t="s">
        <v>27</v>
      </c>
      <c r="N15" t="s">
        <v>50</v>
      </c>
      <c r="P15">
        <v>8</v>
      </c>
      <c r="Q15">
        <v>13</v>
      </c>
      <c r="R15" t="s">
        <v>86</v>
      </c>
      <c r="S15" t="s">
        <v>87</v>
      </c>
      <c r="T15">
        <v>73</v>
      </c>
      <c r="U15" t="s">
        <v>86</v>
      </c>
      <c r="V15" t="s">
        <v>88</v>
      </c>
      <c r="W15">
        <f>IF(Table13[[#This Row],[toss_winner]]=Table13[[#This Row],[match_winner]],1,0)</f>
        <v>1</v>
      </c>
      <c r="X15" t="str">
        <f>IF(Table13[[#This Row],[toss_winner]]=Table13[[#This Row],[match_winner]],"Toss Winner Won","Toss Winner Lost")</f>
        <v>Toss Winner Won</v>
      </c>
      <c r="Y15" t="str">
        <f>IF(Table13[[#This Row],[toss_decision]]="Bat","Bat First","Bowl First")</f>
        <v>Bowl First</v>
      </c>
      <c r="Z15" s="1" t="str">
        <f>IF(Table13[[#This Row],[match_winner]]=Table13[[#This Row],[team1]],"Team1 Win","Team2 Win")</f>
        <v>Team2 Win</v>
      </c>
      <c r="AA15" s="1" t="str">
        <f>IF(Table13[[#This Row],[toss_winner]]=Table13[[#This Row],[match_winner]],Table13[[#This Row],[venue]],"No Advantage")</f>
        <v>Bangalore</v>
      </c>
    </row>
    <row r="16" spans="1:27" x14ac:dyDescent="0.3">
      <c r="A16">
        <v>15</v>
      </c>
      <c r="B16" t="s">
        <v>89</v>
      </c>
      <c r="C16" t="s">
        <v>251</v>
      </c>
      <c r="D16" t="s">
        <v>23</v>
      </c>
      <c r="E16" t="s">
        <v>32</v>
      </c>
      <c r="F16" t="s">
        <v>25</v>
      </c>
      <c r="G16" t="s">
        <v>32</v>
      </c>
      <c r="H16" t="s">
        <v>26</v>
      </c>
      <c r="I16">
        <v>200</v>
      </c>
      <c r="J16">
        <v>6</v>
      </c>
      <c r="K16">
        <v>120</v>
      </c>
      <c r="L16">
        <v>10</v>
      </c>
      <c r="M16" t="s">
        <v>27</v>
      </c>
      <c r="N16" t="s">
        <v>23</v>
      </c>
      <c r="O16">
        <v>80</v>
      </c>
      <c r="Q16">
        <v>20</v>
      </c>
      <c r="R16" t="s">
        <v>90</v>
      </c>
      <c r="S16" t="s">
        <v>91</v>
      </c>
      <c r="T16">
        <v>60</v>
      </c>
      <c r="U16" t="s">
        <v>57</v>
      </c>
      <c r="V16" t="s">
        <v>92</v>
      </c>
      <c r="W16">
        <f>IF(Table13[[#This Row],[toss_winner]]=Table13[[#This Row],[match_winner]],1,0)</f>
        <v>0</v>
      </c>
      <c r="X16" t="str">
        <f>IF(Table13[[#This Row],[toss_winner]]=Table13[[#This Row],[match_winner]],"Toss Winner Won","Toss Winner Lost")</f>
        <v>Toss Winner Lost</v>
      </c>
      <c r="Y16" t="str">
        <f>IF(Table13[[#This Row],[toss_decision]]="Bat","Bat First","Bowl First")</f>
        <v>Bowl First</v>
      </c>
      <c r="Z16" s="1" t="str">
        <f>IF(Table13[[#This Row],[match_winner]]=Table13[[#This Row],[team1]],"Team1 Win","Team2 Win")</f>
        <v>Team1 Win</v>
      </c>
      <c r="AA16" s="1" t="str">
        <f>IF(Table13[[#This Row],[toss_winner]]=Table13[[#This Row],[match_winner]],Table13[[#This Row],[venue]],"No Advantage")</f>
        <v>No Advantage</v>
      </c>
    </row>
    <row r="17" spans="1:27" x14ac:dyDescent="0.3">
      <c r="A17">
        <v>16</v>
      </c>
      <c r="B17" t="s">
        <v>93</v>
      </c>
      <c r="C17" t="s">
        <v>253</v>
      </c>
      <c r="D17" t="s">
        <v>44</v>
      </c>
      <c r="E17" t="s">
        <v>38</v>
      </c>
      <c r="F17" t="s">
        <v>25</v>
      </c>
      <c r="G17" t="s">
        <v>38</v>
      </c>
      <c r="H17" t="s">
        <v>26</v>
      </c>
      <c r="I17">
        <v>203</v>
      </c>
      <c r="J17">
        <v>8</v>
      </c>
      <c r="K17">
        <v>191</v>
      </c>
      <c r="L17">
        <v>5</v>
      </c>
      <c r="M17" t="s">
        <v>27</v>
      </c>
      <c r="N17" t="s">
        <v>44</v>
      </c>
      <c r="O17">
        <v>12</v>
      </c>
      <c r="Q17">
        <v>0</v>
      </c>
      <c r="R17" t="s">
        <v>94</v>
      </c>
      <c r="S17" t="s">
        <v>95</v>
      </c>
      <c r="T17">
        <v>67</v>
      </c>
      <c r="U17" t="s">
        <v>96</v>
      </c>
      <c r="V17" t="s">
        <v>97</v>
      </c>
      <c r="W17">
        <f>IF(Table13[[#This Row],[toss_winner]]=Table13[[#This Row],[match_winner]],1,0)</f>
        <v>0</v>
      </c>
      <c r="X17" t="str">
        <f>IF(Table13[[#This Row],[toss_winner]]=Table13[[#This Row],[match_winner]],"Toss Winner Won","Toss Winner Lost")</f>
        <v>Toss Winner Lost</v>
      </c>
      <c r="Y17" t="str">
        <f>IF(Table13[[#This Row],[toss_decision]]="Bat","Bat First","Bowl First")</f>
        <v>Bowl First</v>
      </c>
      <c r="Z17" s="1" t="str">
        <f>IF(Table13[[#This Row],[match_winner]]=Table13[[#This Row],[team1]],"Team1 Win","Team2 Win")</f>
        <v>Team1 Win</v>
      </c>
      <c r="AA17" s="1" t="str">
        <f>IF(Table13[[#This Row],[toss_winner]]=Table13[[#This Row],[match_winner]],Table13[[#This Row],[venue]],"No Advantage")</f>
        <v>No Advantage</v>
      </c>
    </row>
    <row r="18" spans="1:27" x14ac:dyDescent="0.3">
      <c r="A18">
        <v>17</v>
      </c>
      <c r="B18" t="s">
        <v>98</v>
      </c>
      <c r="C18" t="s">
        <v>259</v>
      </c>
      <c r="D18" t="s">
        <v>37</v>
      </c>
      <c r="E18" t="s">
        <v>43</v>
      </c>
      <c r="F18" t="s">
        <v>25</v>
      </c>
      <c r="G18" t="s">
        <v>43</v>
      </c>
      <c r="H18" t="s">
        <v>71</v>
      </c>
      <c r="I18">
        <v>183</v>
      </c>
      <c r="J18">
        <v>6</v>
      </c>
      <c r="K18">
        <v>158</v>
      </c>
      <c r="L18">
        <v>5</v>
      </c>
      <c r="M18" t="s">
        <v>27</v>
      </c>
      <c r="N18" t="s">
        <v>43</v>
      </c>
      <c r="O18">
        <v>25</v>
      </c>
      <c r="Q18">
        <v>0</v>
      </c>
      <c r="R18" t="s">
        <v>99</v>
      </c>
      <c r="S18" t="s">
        <v>99</v>
      </c>
      <c r="T18">
        <v>77</v>
      </c>
      <c r="U18" t="s">
        <v>100</v>
      </c>
      <c r="V18" t="s">
        <v>101</v>
      </c>
      <c r="W18">
        <f>IF(Table13[[#This Row],[toss_winner]]=Table13[[#This Row],[match_winner]],1,0)</f>
        <v>1</v>
      </c>
      <c r="X18" t="str">
        <f>IF(Table13[[#This Row],[toss_winner]]=Table13[[#This Row],[match_winner]],"Toss Winner Won","Toss Winner Lost")</f>
        <v>Toss Winner Won</v>
      </c>
      <c r="Y18" t="str">
        <f>IF(Table13[[#This Row],[toss_decision]]="Bat","Bat First","Bowl First")</f>
        <v>Bat First</v>
      </c>
      <c r="Z18" s="1" t="str">
        <f>IF(Table13[[#This Row],[match_winner]]=Table13[[#This Row],[team1]],"Team1 Win","Team2 Win")</f>
        <v>Team2 Win</v>
      </c>
      <c r="AA18" s="1" t="str">
        <f>IF(Table13[[#This Row],[toss_winner]]=Table13[[#This Row],[match_winner]],Table13[[#This Row],[venue]],"No Advantage")</f>
        <v>Chennai</v>
      </c>
    </row>
    <row r="19" spans="1:27" x14ac:dyDescent="0.3">
      <c r="A19">
        <v>18</v>
      </c>
      <c r="B19" t="s">
        <v>98</v>
      </c>
      <c r="C19" t="s">
        <v>263</v>
      </c>
      <c r="D19" t="s">
        <v>51</v>
      </c>
      <c r="E19" t="s">
        <v>33</v>
      </c>
      <c r="F19" t="s">
        <v>25</v>
      </c>
      <c r="G19" t="s">
        <v>51</v>
      </c>
      <c r="H19" t="s">
        <v>26</v>
      </c>
      <c r="I19">
        <v>205</v>
      </c>
      <c r="J19">
        <v>4</v>
      </c>
      <c r="K19">
        <v>155</v>
      </c>
      <c r="L19">
        <v>9</v>
      </c>
      <c r="M19" t="s">
        <v>27</v>
      </c>
      <c r="N19" t="s">
        <v>33</v>
      </c>
      <c r="O19">
        <v>50</v>
      </c>
      <c r="Q19">
        <v>0</v>
      </c>
      <c r="R19" t="s">
        <v>102</v>
      </c>
      <c r="S19" t="s">
        <v>103</v>
      </c>
      <c r="T19">
        <v>67</v>
      </c>
      <c r="U19" t="s">
        <v>102</v>
      </c>
      <c r="V19" t="s">
        <v>104</v>
      </c>
      <c r="W19">
        <f>IF(Table13[[#This Row],[toss_winner]]=Table13[[#This Row],[match_winner]],1,0)</f>
        <v>0</v>
      </c>
      <c r="X19" t="str">
        <f>IF(Table13[[#This Row],[toss_winner]]=Table13[[#This Row],[match_winner]],"Toss Winner Won","Toss Winner Lost")</f>
        <v>Toss Winner Lost</v>
      </c>
      <c r="Y19" t="str">
        <f>IF(Table13[[#This Row],[toss_decision]]="Bat","Bat First","Bowl First")</f>
        <v>Bowl First</v>
      </c>
      <c r="Z19" s="1" t="str">
        <f>IF(Table13[[#This Row],[match_winner]]=Table13[[#This Row],[team1]],"Team1 Win","Team2 Win")</f>
        <v>Team2 Win</v>
      </c>
      <c r="AA19" s="1" t="str">
        <f>IF(Table13[[#This Row],[toss_winner]]=Table13[[#This Row],[match_winner]],Table13[[#This Row],[venue]],"No Advantage")</f>
        <v>No Advantage</v>
      </c>
    </row>
    <row r="20" spans="1:27" x14ac:dyDescent="0.3">
      <c r="A20">
        <v>19</v>
      </c>
      <c r="B20" t="s">
        <v>105</v>
      </c>
      <c r="C20" t="s">
        <v>263</v>
      </c>
      <c r="D20" t="s">
        <v>32</v>
      </c>
      <c r="E20" t="s">
        <v>50</v>
      </c>
      <c r="F20" t="s">
        <v>25</v>
      </c>
      <c r="G20" t="s">
        <v>50</v>
      </c>
      <c r="H20" t="s">
        <v>26</v>
      </c>
      <c r="I20">
        <v>152</v>
      </c>
      <c r="J20">
        <v>8</v>
      </c>
      <c r="K20">
        <v>153</v>
      </c>
      <c r="L20">
        <v>3</v>
      </c>
      <c r="M20" t="s">
        <v>27</v>
      </c>
      <c r="N20" t="s">
        <v>50</v>
      </c>
      <c r="P20">
        <v>7</v>
      </c>
      <c r="Q20">
        <v>20</v>
      </c>
      <c r="R20" t="s">
        <v>86</v>
      </c>
      <c r="S20" t="s">
        <v>106</v>
      </c>
      <c r="T20">
        <v>61</v>
      </c>
      <c r="U20" t="s">
        <v>86</v>
      </c>
      <c r="V20" t="s">
        <v>107</v>
      </c>
      <c r="W20">
        <f>IF(Table13[[#This Row],[toss_winner]]=Table13[[#This Row],[match_winner]],1,0)</f>
        <v>1</v>
      </c>
      <c r="X20" t="str">
        <f>IF(Table13[[#This Row],[toss_winner]]=Table13[[#This Row],[match_winner]],"Toss Winner Won","Toss Winner Lost")</f>
        <v>Toss Winner Won</v>
      </c>
      <c r="Y20" t="str">
        <f>IF(Table13[[#This Row],[toss_decision]]="Bat","Bat First","Bowl First")</f>
        <v>Bowl First</v>
      </c>
      <c r="Z20" s="1" t="str">
        <f>IF(Table13[[#This Row],[match_winner]]=Table13[[#This Row],[team1]],"Team1 Win","Team2 Win")</f>
        <v>Team2 Win</v>
      </c>
      <c r="AA20" s="1" t="str">
        <f>IF(Table13[[#This Row],[toss_winner]]=Table13[[#This Row],[match_winner]],Table13[[#This Row],[venue]],"No Advantage")</f>
        <v>Mullanpur</v>
      </c>
    </row>
    <row r="21" spans="1:27" x14ac:dyDescent="0.3">
      <c r="A21">
        <v>20</v>
      </c>
      <c r="B21" t="s">
        <v>108</v>
      </c>
      <c r="C21" t="s">
        <v>269</v>
      </c>
      <c r="D21" t="s">
        <v>38</v>
      </c>
      <c r="E21" t="s">
        <v>24</v>
      </c>
      <c r="F21" t="s">
        <v>25</v>
      </c>
      <c r="G21" t="s">
        <v>38</v>
      </c>
      <c r="H21" t="s">
        <v>26</v>
      </c>
      <c r="I21">
        <v>221</v>
      </c>
      <c r="J21">
        <v>5</v>
      </c>
      <c r="K21">
        <v>209</v>
      </c>
      <c r="L21">
        <v>9</v>
      </c>
      <c r="M21" t="s">
        <v>27</v>
      </c>
      <c r="N21" t="s">
        <v>24</v>
      </c>
      <c r="O21">
        <v>12</v>
      </c>
      <c r="Q21">
        <v>0</v>
      </c>
      <c r="R21" t="s">
        <v>63</v>
      </c>
      <c r="S21" t="s">
        <v>29</v>
      </c>
      <c r="T21">
        <v>67</v>
      </c>
      <c r="U21" t="s">
        <v>28</v>
      </c>
      <c r="V21" t="s">
        <v>109</v>
      </c>
      <c r="W21">
        <f>IF(Table13[[#This Row],[toss_winner]]=Table13[[#This Row],[match_winner]],1,0)</f>
        <v>0</v>
      </c>
      <c r="X21" t="str">
        <f>IF(Table13[[#This Row],[toss_winner]]=Table13[[#This Row],[match_winner]],"Toss Winner Won","Toss Winner Lost")</f>
        <v>Toss Winner Lost</v>
      </c>
      <c r="Y21" t="str">
        <f>IF(Table13[[#This Row],[toss_decision]]="Bat","Bat First","Bowl First")</f>
        <v>Bowl First</v>
      </c>
      <c r="Z21" s="1" t="str">
        <f>IF(Table13[[#This Row],[match_winner]]=Table13[[#This Row],[team1]],"Team1 Win","Team2 Win")</f>
        <v>Team2 Win</v>
      </c>
      <c r="AA21" s="1" t="str">
        <f>IF(Table13[[#This Row],[toss_winner]]=Table13[[#This Row],[match_winner]],Table13[[#This Row],[venue]],"No Advantage")</f>
        <v>No Advantage</v>
      </c>
    </row>
    <row r="22" spans="1:27" x14ac:dyDescent="0.3">
      <c r="A22">
        <v>21</v>
      </c>
      <c r="B22" t="s">
        <v>110</v>
      </c>
      <c r="C22" t="s">
        <v>251</v>
      </c>
      <c r="D22" t="s">
        <v>23</v>
      </c>
      <c r="E22" t="s">
        <v>44</v>
      </c>
      <c r="F22" t="s">
        <v>25</v>
      </c>
      <c r="G22" t="s">
        <v>23</v>
      </c>
      <c r="H22" t="s">
        <v>26</v>
      </c>
      <c r="I22">
        <v>238</v>
      </c>
      <c r="J22">
        <v>3</v>
      </c>
      <c r="K22">
        <v>234</v>
      </c>
      <c r="L22">
        <v>7</v>
      </c>
      <c r="M22" t="s">
        <v>27</v>
      </c>
      <c r="N22" t="s">
        <v>44</v>
      </c>
      <c r="O22">
        <v>4</v>
      </c>
      <c r="Q22">
        <v>0</v>
      </c>
      <c r="R22" t="s">
        <v>46</v>
      </c>
      <c r="S22" t="s">
        <v>46</v>
      </c>
      <c r="T22">
        <v>87</v>
      </c>
      <c r="U22" t="s">
        <v>111</v>
      </c>
      <c r="V22" t="s">
        <v>112</v>
      </c>
      <c r="W22">
        <f>IF(Table13[[#This Row],[toss_winner]]=Table13[[#This Row],[match_winner]],1,0)</f>
        <v>0</v>
      </c>
      <c r="X22" t="str">
        <f>IF(Table13[[#This Row],[toss_winner]]=Table13[[#This Row],[match_winner]],"Toss Winner Won","Toss Winner Lost")</f>
        <v>Toss Winner Lost</v>
      </c>
      <c r="Y22" t="str">
        <f>IF(Table13[[#This Row],[toss_decision]]="Bat","Bat First","Bowl First")</f>
        <v>Bowl First</v>
      </c>
      <c r="Z22" s="1" t="str">
        <f>IF(Table13[[#This Row],[match_winner]]=Table13[[#This Row],[team1]],"Team1 Win","Team2 Win")</f>
        <v>Team2 Win</v>
      </c>
      <c r="AA22" s="1" t="str">
        <f>IF(Table13[[#This Row],[toss_winner]]=Table13[[#This Row],[match_winner]],Table13[[#This Row],[venue]],"No Advantage")</f>
        <v>No Advantage</v>
      </c>
    </row>
    <row r="23" spans="1:27" x14ac:dyDescent="0.3">
      <c r="A23">
        <v>22</v>
      </c>
      <c r="B23" t="s">
        <v>110</v>
      </c>
      <c r="C23" t="s">
        <v>263</v>
      </c>
      <c r="D23" t="s">
        <v>51</v>
      </c>
      <c r="E23" t="s">
        <v>37</v>
      </c>
      <c r="F23" t="s">
        <v>25</v>
      </c>
      <c r="G23" t="s">
        <v>51</v>
      </c>
      <c r="H23" t="s">
        <v>71</v>
      </c>
      <c r="I23">
        <v>219</v>
      </c>
      <c r="J23">
        <v>6</v>
      </c>
      <c r="K23">
        <v>201</v>
      </c>
      <c r="L23">
        <v>5</v>
      </c>
      <c r="M23" t="s">
        <v>27</v>
      </c>
      <c r="N23" t="s">
        <v>51</v>
      </c>
      <c r="O23">
        <v>18</v>
      </c>
      <c r="Q23">
        <v>0</v>
      </c>
      <c r="R23" t="s">
        <v>113</v>
      </c>
      <c r="S23" t="s">
        <v>113</v>
      </c>
      <c r="T23">
        <v>103</v>
      </c>
      <c r="U23" t="s">
        <v>114</v>
      </c>
      <c r="V23" t="s">
        <v>115</v>
      </c>
      <c r="W23">
        <f>IF(Table13[[#This Row],[toss_winner]]=Table13[[#This Row],[match_winner]],1,0)</f>
        <v>1</v>
      </c>
      <c r="X23" t="str">
        <f>IF(Table13[[#This Row],[toss_winner]]=Table13[[#This Row],[match_winner]],"Toss Winner Won","Toss Winner Lost")</f>
        <v>Toss Winner Won</v>
      </c>
      <c r="Y23" t="str">
        <f>IF(Table13[[#This Row],[toss_decision]]="Bat","Bat First","Bowl First")</f>
        <v>Bat First</v>
      </c>
      <c r="Z23" s="1" t="str">
        <f>IF(Table13[[#This Row],[match_winner]]=Table13[[#This Row],[team1]],"Team1 Win","Team2 Win")</f>
        <v>Team1 Win</v>
      </c>
      <c r="AA23" s="1" t="str">
        <f>IF(Table13[[#This Row],[toss_winner]]=Table13[[#This Row],[match_winner]],Table13[[#This Row],[venue]],"No Advantage")</f>
        <v>Mullanpur</v>
      </c>
    </row>
    <row r="24" spans="1:27" x14ac:dyDescent="0.3">
      <c r="A24">
        <v>23</v>
      </c>
      <c r="B24" t="s">
        <v>116</v>
      </c>
      <c r="C24" t="s">
        <v>261</v>
      </c>
      <c r="D24" t="s">
        <v>50</v>
      </c>
      <c r="E24" t="s">
        <v>33</v>
      </c>
      <c r="F24" t="s">
        <v>25</v>
      </c>
      <c r="G24" t="s">
        <v>33</v>
      </c>
      <c r="H24" t="s">
        <v>26</v>
      </c>
      <c r="I24">
        <v>217</v>
      </c>
      <c r="J24">
        <v>6</v>
      </c>
      <c r="K24">
        <v>159</v>
      </c>
      <c r="L24">
        <v>10</v>
      </c>
      <c r="M24" t="s">
        <v>27</v>
      </c>
      <c r="N24" t="s">
        <v>50</v>
      </c>
      <c r="O24">
        <v>58</v>
      </c>
      <c r="Q24">
        <v>4</v>
      </c>
      <c r="R24" t="s">
        <v>68</v>
      </c>
      <c r="S24" t="s">
        <v>68</v>
      </c>
      <c r="T24">
        <v>82</v>
      </c>
      <c r="U24" t="s">
        <v>67</v>
      </c>
      <c r="V24" t="s">
        <v>117</v>
      </c>
      <c r="W24">
        <f>IF(Table13[[#This Row],[toss_winner]]=Table13[[#This Row],[match_winner]],1,0)</f>
        <v>0</v>
      </c>
      <c r="X24" t="str">
        <f>IF(Table13[[#This Row],[toss_winner]]=Table13[[#This Row],[match_winner]],"Toss Winner Won","Toss Winner Lost")</f>
        <v>Toss Winner Lost</v>
      </c>
      <c r="Y24" t="str">
        <f>IF(Table13[[#This Row],[toss_decision]]="Bat","Bat First","Bowl First")</f>
        <v>Bowl First</v>
      </c>
      <c r="Z24" s="1" t="str">
        <f>IF(Table13[[#This Row],[match_winner]]=Table13[[#This Row],[team1]],"Team1 Win","Team2 Win")</f>
        <v>Team1 Win</v>
      </c>
      <c r="AA24" s="1" t="str">
        <f>IF(Table13[[#This Row],[toss_winner]]=Table13[[#This Row],[match_winner]],Table13[[#This Row],[venue]],"No Advantage")</f>
        <v>No Advantage</v>
      </c>
    </row>
    <row r="25" spans="1:27" x14ac:dyDescent="0.3">
      <c r="A25">
        <v>24</v>
      </c>
      <c r="B25" t="s">
        <v>118</v>
      </c>
      <c r="C25" t="s">
        <v>257</v>
      </c>
      <c r="D25" t="s">
        <v>24</v>
      </c>
      <c r="E25" t="s">
        <v>43</v>
      </c>
      <c r="F25" t="s">
        <v>25</v>
      </c>
      <c r="G25" t="s">
        <v>43</v>
      </c>
      <c r="H25" t="s">
        <v>26</v>
      </c>
      <c r="I25">
        <v>163</v>
      </c>
      <c r="J25">
        <v>7</v>
      </c>
      <c r="K25">
        <v>169</v>
      </c>
      <c r="L25">
        <v>4</v>
      </c>
      <c r="M25" t="s">
        <v>27</v>
      </c>
      <c r="N25" t="s">
        <v>43</v>
      </c>
      <c r="P25">
        <v>6</v>
      </c>
      <c r="Q25">
        <v>13</v>
      </c>
      <c r="R25" t="s">
        <v>99</v>
      </c>
      <c r="S25" t="s">
        <v>99</v>
      </c>
      <c r="T25">
        <v>93</v>
      </c>
      <c r="U25" t="s">
        <v>119</v>
      </c>
      <c r="V25" t="s">
        <v>58</v>
      </c>
      <c r="W25">
        <f>IF(Table13[[#This Row],[toss_winner]]=Table13[[#This Row],[match_winner]],1,0)</f>
        <v>1</v>
      </c>
      <c r="X25" t="str">
        <f>IF(Table13[[#This Row],[toss_winner]]=Table13[[#This Row],[match_winner]],"Toss Winner Won","Toss Winner Lost")</f>
        <v>Toss Winner Won</v>
      </c>
      <c r="Y25" t="str">
        <f>IF(Table13[[#This Row],[toss_decision]]="Bat","Bat First","Bowl First")</f>
        <v>Bowl First</v>
      </c>
      <c r="Z25" s="1" t="str">
        <f>IF(Table13[[#This Row],[match_winner]]=Table13[[#This Row],[team1]],"Team1 Win","Team2 Win")</f>
        <v>Team2 Win</v>
      </c>
      <c r="AA25" s="1" t="str">
        <f>IF(Table13[[#This Row],[toss_winner]]=Table13[[#This Row],[match_winner]],Table13[[#This Row],[venue]],"No Advantage")</f>
        <v>Bangalore</v>
      </c>
    </row>
    <row r="26" spans="1:27" x14ac:dyDescent="0.3">
      <c r="A26">
        <v>25</v>
      </c>
      <c r="B26" t="s">
        <v>120</v>
      </c>
      <c r="C26" t="s">
        <v>259</v>
      </c>
      <c r="D26" t="s">
        <v>37</v>
      </c>
      <c r="E26" t="s">
        <v>23</v>
      </c>
      <c r="F26" t="s">
        <v>25</v>
      </c>
      <c r="G26" t="s">
        <v>23</v>
      </c>
      <c r="H26" t="s">
        <v>26</v>
      </c>
      <c r="I26">
        <v>103</v>
      </c>
      <c r="J26">
        <v>9</v>
      </c>
      <c r="K26">
        <v>107</v>
      </c>
      <c r="L26">
        <v>2</v>
      </c>
      <c r="M26" t="s">
        <v>27</v>
      </c>
      <c r="N26" t="s">
        <v>23</v>
      </c>
      <c r="P26">
        <v>8</v>
      </c>
      <c r="Q26">
        <v>59</v>
      </c>
      <c r="R26" t="s">
        <v>121</v>
      </c>
      <c r="S26" t="s">
        <v>121</v>
      </c>
      <c r="T26">
        <v>44</v>
      </c>
      <c r="U26" t="s">
        <v>121</v>
      </c>
      <c r="V26" t="s">
        <v>122</v>
      </c>
      <c r="W26">
        <f>IF(Table13[[#This Row],[toss_winner]]=Table13[[#This Row],[match_winner]],1,0)</f>
        <v>1</v>
      </c>
      <c r="X26" t="str">
        <f>IF(Table13[[#This Row],[toss_winner]]=Table13[[#This Row],[match_winner]],"Toss Winner Won","Toss Winner Lost")</f>
        <v>Toss Winner Won</v>
      </c>
      <c r="Y26" t="str">
        <f>IF(Table13[[#This Row],[toss_decision]]="Bat","Bat First","Bowl First")</f>
        <v>Bowl First</v>
      </c>
      <c r="Z26" s="1" t="str">
        <f>IF(Table13[[#This Row],[match_winner]]=Table13[[#This Row],[team1]],"Team1 Win","Team2 Win")</f>
        <v>Team2 Win</v>
      </c>
      <c r="AA26" s="1" t="str">
        <f>IF(Table13[[#This Row],[toss_winner]]=Table13[[#This Row],[match_winner]],Table13[[#This Row],[venue]],"No Advantage")</f>
        <v>Chennai</v>
      </c>
    </row>
    <row r="27" spans="1:27" x14ac:dyDescent="0.3">
      <c r="A27">
        <v>26</v>
      </c>
      <c r="B27" t="s">
        <v>123</v>
      </c>
      <c r="C27" t="s">
        <v>253</v>
      </c>
      <c r="D27" t="s">
        <v>44</v>
      </c>
      <c r="E27" t="s">
        <v>50</v>
      </c>
      <c r="F27" t="s">
        <v>25</v>
      </c>
      <c r="G27" t="s">
        <v>44</v>
      </c>
      <c r="H27" t="s">
        <v>26</v>
      </c>
      <c r="I27">
        <v>180</v>
      </c>
      <c r="J27">
        <v>6</v>
      </c>
      <c r="K27">
        <v>186</v>
      </c>
      <c r="L27">
        <v>4</v>
      </c>
      <c r="M27" t="s">
        <v>27</v>
      </c>
      <c r="N27" t="s">
        <v>44</v>
      </c>
      <c r="P27">
        <v>6</v>
      </c>
      <c r="Q27">
        <v>3</v>
      </c>
      <c r="R27" t="s">
        <v>124</v>
      </c>
      <c r="S27" t="s">
        <v>46</v>
      </c>
      <c r="T27">
        <v>61</v>
      </c>
      <c r="U27" t="s">
        <v>67</v>
      </c>
      <c r="V27" t="s">
        <v>125</v>
      </c>
      <c r="W27">
        <f>IF(Table13[[#This Row],[toss_winner]]=Table13[[#This Row],[match_winner]],1,0)</f>
        <v>1</v>
      </c>
      <c r="X27" t="str">
        <f>IF(Table13[[#This Row],[toss_winner]]=Table13[[#This Row],[match_winner]],"Toss Winner Won","Toss Winner Lost")</f>
        <v>Toss Winner Won</v>
      </c>
      <c r="Y27" t="str">
        <f>IF(Table13[[#This Row],[toss_decision]]="Bat","Bat First","Bowl First")</f>
        <v>Bowl First</v>
      </c>
      <c r="Z27" s="1" t="str">
        <f>IF(Table13[[#This Row],[match_winner]]=Table13[[#This Row],[team1]],"Team1 Win","Team2 Win")</f>
        <v>Team1 Win</v>
      </c>
      <c r="AA27" s="1" t="str">
        <f>IF(Table13[[#This Row],[toss_winner]]=Table13[[#This Row],[match_winner]],Table13[[#This Row],[venue]],"No Advantage")</f>
        <v>Lucknow</v>
      </c>
    </row>
    <row r="28" spans="1:27" x14ac:dyDescent="0.3">
      <c r="A28">
        <v>27</v>
      </c>
      <c r="B28" t="s">
        <v>123</v>
      </c>
      <c r="C28" t="s">
        <v>263</v>
      </c>
      <c r="D28" t="s">
        <v>32</v>
      </c>
      <c r="E28" t="s">
        <v>51</v>
      </c>
      <c r="F28" t="s">
        <v>25</v>
      </c>
      <c r="G28" t="s">
        <v>51</v>
      </c>
      <c r="H28" t="s">
        <v>71</v>
      </c>
      <c r="I28">
        <v>245</v>
      </c>
      <c r="J28">
        <v>6</v>
      </c>
      <c r="K28">
        <v>247</v>
      </c>
      <c r="L28">
        <v>2</v>
      </c>
      <c r="M28" t="s">
        <v>27</v>
      </c>
      <c r="N28" t="s">
        <v>32</v>
      </c>
      <c r="P28">
        <v>8</v>
      </c>
      <c r="Q28">
        <v>9</v>
      </c>
      <c r="R28" t="s">
        <v>126</v>
      </c>
      <c r="S28" t="s">
        <v>126</v>
      </c>
      <c r="T28">
        <v>141</v>
      </c>
      <c r="U28" t="s">
        <v>127</v>
      </c>
      <c r="V28" t="s">
        <v>128</v>
      </c>
      <c r="W28">
        <f>IF(Table13[[#This Row],[toss_winner]]=Table13[[#This Row],[match_winner]],1,0)</f>
        <v>0</v>
      </c>
      <c r="X28" t="str">
        <f>IF(Table13[[#This Row],[toss_winner]]=Table13[[#This Row],[match_winner]],"Toss Winner Won","Toss Winner Lost")</f>
        <v>Toss Winner Lost</v>
      </c>
      <c r="Y28" t="str">
        <f>IF(Table13[[#This Row],[toss_decision]]="Bat","Bat First","Bowl First")</f>
        <v>Bat First</v>
      </c>
      <c r="Z28" s="1" t="str">
        <f>IF(Table13[[#This Row],[match_winner]]=Table13[[#This Row],[team1]],"Team1 Win","Team2 Win")</f>
        <v>Team1 Win</v>
      </c>
      <c r="AA28" s="1" t="str">
        <f>IF(Table13[[#This Row],[toss_winner]]=Table13[[#This Row],[match_winner]],Table13[[#This Row],[venue]],"No Advantage")</f>
        <v>No Advantage</v>
      </c>
    </row>
    <row r="29" spans="1:27" x14ac:dyDescent="0.3">
      <c r="A29">
        <v>28</v>
      </c>
      <c r="B29" t="s">
        <v>129</v>
      </c>
      <c r="C29" t="s">
        <v>267</v>
      </c>
      <c r="D29" t="s">
        <v>33</v>
      </c>
      <c r="E29" t="s">
        <v>24</v>
      </c>
      <c r="F29" t="s">
        <v>25</v>
      </c>
      <c r="G29" t="s">
        <v>24</v>
      </c>
      <c r="H29" t="s">
        <v>26</v>
      </c>
      <c r="I29">
        <v>173</v>
      </c>
      <c r="J29">
        <v>4</v>
      </c>
      <c r="K29">
        <v>175</v>
      </c>
      <c r="L29">
        <v>1</v>
      </c>
      <c r="M29" t="s">
        <v>27</v>
      </c>
      <c r="N29" t="s">
        <v>24</v>
      </c>
      <c r="P29">
        <v>9</v>
      </c>
      <c r="Q29">
        <v>15</v>
      </c>
      <c r="R29" t="s">
        <v>130</v>
      </c>
      <c r="S29" t="s">
        <v>103</v>
      </c>
      <c r="T29">
        <v>75</v>
      </c>
      <c r="U29" t="s">
        <v>28</v>
      </c>
      <c r="V29" t="s">
        <v>131</v>
      </c>
      <c r="W29">
        <f>IF(Table13[[#This Row],[toss_winner]]=Table13[[#This Row],[match_winner]],1,0)</f>
        <v>1</v>
      </c>
      <c r="X29" t="str">
        <f>IF(Table13[[#This Row],[toss_winner]]=Table13[[#This Row],[match_winner]],"Toss Winner Won","Toss Winner Lost")</f>
        <v>Toss Winner Won</v>
      </c>
      <c r="Y29" t="str">
        <f>IF(Table13[[#This Row],[toss_decision]]="Bat","Bat First","Bowl First")</f>
        <v>Bowl First</v>
      </c>
      <c r="Z29" s="1" t="str">
        <f>IF(Table13[[#This Row],[match_winner]]=Table13[[#This Row],[team1]],"Team1 Win","Team2 Win")</f>
        <v>Team2 Win</v>
      </c>
      <c r="AA29" s="1" t="str">
        <f>IF(Table13[[#This Row],[toss_winner]]=Table13[[#This Row],[match_winner]],Table13[[#This Row],[venue]],"No Advantage")</f>
        <v>Jaipur</v>
      </c>
    </row>
    <row r="30" spans="1:27" x14ac:dyDescent="0.3">
      <c r="A30">
        <v>29</v>
      </c>
      <c r="B30" t="s">
        <v>129</v>
      </c>
      <c r="C30" t="s">
        <v>246</v>
      </c>
      <c r="D30" t="s">
        <v>43</v>
      </c>
      <c r="E30" t="s">
        <v>38</v>
      </c>
      <c r="F30" t="s">
        <v>25</v>
      </c>
      <c r="G30" t="s">
        <v>43</v>
      </c>
      <c r="H30" t="s">
        <v>26</v>
      </c>
      <c r="I30">
        <v>205</v>
      </c>
      <c r="J30">
        <v>5</v>
      </c>
      <c r="K30">
        <v>193</v>
      </c>
      <c r="L30">
        <v>10</v>
      </c>
      <c r="M30" t="s">
        <v>27</v>
      </c>
      <c r="N30" t="s">
        <v>43</v>
      </c>
      <c r="O30">
        <v>12</v>
      </c>
      <c r="Q30">
        <v>6</v>
      </c>
      <c r="R30" t="s">
        <v>132</v>
      </c>
      <c r="S30" t="s">
        <v>133</v>
      </c>
      <c r="T30">
        <v>89</v>
      </c>
      <c r="U30" t="s">
        <v>132</v>
      </c>
      <c r="V30" t="s">
        <v>134</v>
      </c>
      <c r="W30">
        <f>IF(Table13[[#This Row],[toss_winner]]=Table13[[#This Row],[match_winner]],1,0)</f>
        <v>1</v>
      </c>
      <c r="X30" t="str">
        <f>IF(Table13[[#This Row],[toss_winner]]=Table13[[#This Row],[match_winner]],"Toss Winner Won","Toss Winner Lost")</f>
        <v>Toss Winner Won</v>
      </c>
      <c r="Y30" t="str">
        <f>IF(Table13[[#This Row],[toss_decision]]="Bat","Bat First","Bowl First")</f>
        <v>Bowl First</v>
      </c>
      <c r="Z30" s="1" t="str">
        <f>IF(Table13[[#This Row],[match_winner]]=Table13[[#This Row],[team1]],"Team1 Win","Team2 Win")</f>
        <v>Team1 Win</v>
      </c>
      <c r="AA30" s="1" t="str">
        <f>IF(Table13[[#This Row],[toss_winner]]=Table13[[#This Row],[match_winner]],Table13[[#This Row],[venue]],"No Advantage")</f>
        <v>Delhi</v>
      </c>
    </row>
    <row r="31" spans="1:27" x14ac:dyDescent="0.3">
      <c r="A31">
        <v>30</v>
      </c>
      <c r="B31" t="s">
        <v>135</v>
      </c>
      <c r="C31" t="s">
        <v>253</v>
      </c>
      <c r="D31" t="s">
        <v>44</v>
      </c>
      <c r="E31" t="s">
        <v>37</v>
      </c>
      <c r="F31" t="s">
        <v>25</v>
      </c>
      <c r="G31" t="s">
        <v>37</v>
      </c>
      <c r="H31" t="s">
        <v>26</v>
      </c>
      <c r="I31">
        <v>166</v>
      </c>
      <c r="J31">
        <v>7</v>
      </c>
      <c r="K31">
        <v>168</v>
      </c>
      <c r="L31">
        <v>5</v>
      </c>
      <c r="M31" t="s">
        <v>27</v>
      </c>
      <c r="N31" t="s">
        <v>37</v>
      </c>
      <c r="P31">
        <v>5</v>
      </c>
      <c r="Q31">
        <v>3</v>
      </c>
      <c r="R31" t="s">
        <v>136</v>
      </c>
      <c r="S31" t="s">
        <v>137</v>
      </c>
      <c r="T31">
        <v>63</v>
      </c>
      <c r="U31" t="s">
        <v>138</v>
      </c>
      <c r="V31" t="s">
        <v>69</v>
      </c>
      <c r="W31">
        <f>IF(Table13[[#This Row],[toss_winner]]=Table13[[#This Row],[match_winner]],1,0)</f>
        <v>1</v>
      </c>
      <c r="X31" t="str">
        <f>IF(Table13[[#This Row],[toss_winner]]=Table13[[#This Row],[match_winner]],"Toss Winner Won","Toss Winner Lost")</f>
        <v>Toss Winner Won</v>
      </c>
      <c r="Y31" t="str">
        <f>IF(Table13[[#This Row],[toss_decision]]="Bat","Bat First","Bowl First")</f>
        <v>Bowl First</v>
      </c>
      <c r="Z31" s="1" t="str">
        <f>IF(Table13[[#This Row],[match_winner]]=Table13[[#This Row],[team1]],"Team1 Win","Team2 Win")</f>
        <v>Team2 Win</v>
      </c>
      <c r="AA31" s="1" t="str">
        <f>IF(Table13[[#This Row],[toss_winner]]=Table13[[#This Row],[match_winner]],Table13[[#This Row],[venue]],"No Advantage")</f>
        <v>Lucknow</v>
      </c>
    </row>
    <row r="32" spans="1:27" x14ac:dyDescent="0.3">
      <c r="A32">
        <v>31</v>
      </c>
      <c r="B32" t="s">
        <v>139</v>
      </c>
      <c r="C32" t="s">
        <v>263</v>
      </c>
      <c r="D32" t="s">
        <v>51</v>
      </c>
      <c r="E32" t="s">
        <v>23</v>
      </c>
      <c r="F32" t="s">
        <v>25</v>
      </c>
      <c r="G32" t="s">
        <v>51</v>
      </c>
      <c r="H32" t="s">
        <v>71</v>
      </c>
      <c r="I32">
        <v>111</v>
      </c>
      <c r="J32">
        <v>10</v>
      </c>
      <c r="K32">
        <v>95</v>
      </c>
      <c r="L32">
        <v>10</v>
      </c>
      <c r="M32" t="s">
        <v>27</v>
      </c>
      <c r="N32" t="s">
        <v>51</v>
      </c>
      <c r="O32">
        <v>16</v>
      </c>
      <c r="Q32">
        <v>29</v>
      </c>
      <c r="R32" t="s">
        <v>140</v>
      </c>
      <c r="S32" t="s">
        <v>141</v>
      </c>
      <c r="T32">
        <v>37</v>
      </c>
      <c r="U32" t="s">
        <v>140</v>
      </c>
      <c r="V32" t="s">
        <v>142</v>
      </c>
      <c r="W32">
        <f>IF(Table13[[#This Row],[toss_winner]]=Table13[[#This Row],[match_winner]],1,0)</f>
        <v>1</v>
      </c>
      <c r="X32" t="str">
        <f>IF(Table13[[#This Row],[toss_winner]]=Table13[[#This Row],[match_winner]],"Toss Winner Won","Toss Winner Lost")</f>
        <v>Toss Winner Won</v>
      </c>
      <c r="Y32" t="str">
        <f>IF(Table13[[#This Row],[toss_decision]]="Bat","Bat First","Bowl First")</f>
        <v>Bat First</v>
      </c>
      <c r="Z32" s="1" t="str">
        <f>IF(Table13[[#This Row],[match_winner]]=Table13[[#This Row],[team1]],"Team1 Win","Team2 Win")</f>
        <v>Team1 Win</v>
      </c>
      <c r="AA32" s="1" t="str">
        <f>IF(Table13[[#This Row],[toss_winner]]=Table13[[#This Row],[match_winner]],Table13[[#This Row],[venue]],"No Advantage")</f>
        <v>Mullanpur</v>
      </c>
    </row>
    <row r="33" spans="1:27" x14ac:dyDescent="0.3">
      <c r="A33">
        <v>32</v>
      </c>
      <c r="B33" t="s">
        <v>143</v>
      </c>
      <c r="C33" t="s">
        <v>246</v>
      </c>
      <c r="D33" t="s">
        <v>43</v>
      </c>
      <c r="E33" t="s">
        <v>33</v>
      </c>
      <c r="F33" t="s">
        <v>25</v>
      </c>
      <c r="G33" t="s">
        <v>33</v>
      </c>
      <c r="H33" t="s">
        <v>26</v>
      </c>
      <c r="I33">
        <v>188</v>
      </c>
      <c r="J33">
        <v>5</v>
      </c>
      <c r="K33">
        <v>188</v>
      </c>
      <c r="L33">
        <v>4</v>
      </c>
      <c r="M33" t="s">
        <v>27</v>
      </c>
      <c r="N33" t="s">
        <v>43</v>
      </c>
      <c r="O33" t="s">
        <v>144</v>
      </c>
      <c r="P33" t="s">
        <v>144</v>
      </c>
      <c r="Q33">
        <v>0</v>
      </c>
      <c r="R33" t="s">
        <v>47</v>
      </c>
      <c r="S33" t="s">
        <v>74</v>
      </c>
      <c r="T33">
        <v>51</v>
      </c>
      <c r="U33" t="s">
        <v>102</v>
      </c>
      <c r="V33" t="s">
        <v>145</v>
      </c>
      <c r="W33">
        <f>IF(Table13[[#This Row],[toss_winner]]=Table13[[#This Row],[match_winner]],1,0)</f>
        <v>0</v>
      </c>
      <c r="X33" t="str">
        <f>IF(Table13[[#This Row],[toss_winner]]=Table13[[#This Row],[match_winner]],"Toss Winner Won","Toss Winner Lost")</f>
        <v>Toss Winner Lost</v>
      </c>
      <c r="Y33" t="str">
        <f>IF(Table13[[#This Row],[toss_decision]]="Bat","Bat First","Bowl First")</f>
        <v>Bowl First</v>
      </c>
      <c r="Z33" s="1" t="str">
        <f>IF(Table13[[#This Row],[match_winner]]=Table13[[#This Row],[team1]],"Team1 Win","Team2 Win")</f>
        <v>Team1 Win</v>
      </c>
      <c r="AA33" s="1" t="str">
        <f>IF(Table13[[#This Row],[toss_winner]]=Table13[[#This Row],[match_winner]],Table13[[#This Row],[venue]],"No Advantage")</f>
        <v>No Advantage</v>
      </c>
    </row>
    <row r="34" spans="1:27" x14ac:dyDescent="0.3">
      <c r="A34">
        <v>33</v>
      </c>
      <c r="B34" t="s">
        <v>146</v>
      </c>
      <c r="C34" t="s">
        <v>269</v>
      </c>
      <c r="D34" t="s">
        <v>38</v>
      </c>
      <c r="E34" t="s">
        <v>32</v>
      </c>
      <c r="F34" t="s">
        <v>25</v>
      </c>
      <c r="G34" t="s">
        <v>38</v>
      </c>
      <c r="H34" t="s">
        <v>26</v>
      </c>
      <c r="I34">
        <v>162</v>
      </c>
      <c r="J34">
        <v>5</v>
      </c>
      <c r="K34">
        <v>166</v>
      </c>
      <c r="L34">
        <v>6</v>
      </c>
      <c r="M34" t="s">
        <v>27</v>
      </c>
      <c r="N34" t="s">
        <v>38</v>
      </c>
      <c r="P34">
        <v>4</v>
      </c>
      <c r="Q34">
        <v>11</v>
      </c>
      <c r="R34" t="s">
        <v>147</v>
      </c>
      <c r="S34" t="s">
        <v>126</v>
      </c>
      <c r="T34">
        <v>40</v>
      </c>
      <c r="U34" t="s">
        <v>148</v>
      </c>
      <c r="V34" t="s">
        <v>134</v>
      </c>
      <c r="W34">
        <f>IF(Table13[[#This Row],[toss_winner]]=Table13[[#This Row],[match_winner]],1,0)</f>
        <v>1</v>
      </c>
      <c r="X34" t="str">
        <f>IF(Table13[[#This Row],[toss_winner]]=Table13[[#This Row],[match_winner]],"Toss Winner Won","Toss Winner Lost")</f>
        <v>Toss Winner Won</v>
      </c>
      <c r="Y34" t="str">
        <f>IF(Table13[[#This Row],[toss_decision]]="Bat","Bat First","Bowl First")</f>
        <v>Bowl First</v>
      </c>
      <c r="Z34" s="1" t="str">
        <f>IF(Table13[[#This Row],[match_winner]]=Table13[[#This Row],[team1]],"Team1 Win","Team2 Win")</f>
        <v>Team1 Win</v>
      </c>
      <c r="AA34" s="1" t="str">
        <f>IF(Table13[[#This Row],[toss_winner]]=Table13[[#This Row],[match_winner]],Table13[[#This Row],[venue]],"No Advantage")</f>
        <v>Mumbai</v>
      </c>
    </row>
    <row r="35" spans="1:27" x14ac:dyDescent="0.3">
      <c r="A35">
        <v>34</v>
      </c>
      <c r="B35" t="s">
        <v>149</v>
      </c>
      <c r="C35" t="s">
        <v>257</v>
      </c>
      <c r="D35" t="s">
        <v>24</v>
      </c>
      <c r="E35" t="s">
        <v>51</v>
      </c>
      <c r="F35" t="s">
        <v>25</v>
      </c>
      <c r="G35" t="s">
        <v>51</v>
      </c>
      <c r="H35" t="s">
        <v>26</v>
      </c>
      <c r="I35">
        <v>95</v>
      </c>
      <c r="J35">
        <v>9</v>
      </c>
      <c r="K35">
        <v>98</v>
      </c>
      <c r="L35">
        <v>5</v>
      </c>
      <c r="M35" t="s">
        <v>27</v>
      </c>
      <c r="N35" t="s">
        <v>51</v>
      </c>
      <c r="P35">
        <v>5</v>
      </c>
      <c r="Q35">
        <v>11</v>
      </c>
      <c r="R35" t="s">
        <v>150</v>
      </c>
      <c r="S35" t="s">
        <v>150</v>
      </c>
      <c r="T35">
        <v>50</v>
      </c>
      <c r="U35" t="s">
        <v>64</v>
      </c>
      <c r="V35" t="s">
        <v>151</v>
      </c>
      <c r="W35">
        <f>IF(Table13[[#This Row],[toss_winner]]=Table13[[#This Row],[match_winner]],1,0)</f>
        <v>1</v>
      </c>
      <c r="X35" t="str">
        <f>IF(Table13[[#This Row],[toss_winner]]=Table13[[#This Row],[match_winner]],"Toss Winner Won","Toss Winner Lost")</f>
        <v>Toss Winner Won</v>
      </c>
      <c r="Y35" t="str">
        <f>IF(Table13[[#This Row],[toss_decision]]="Bat","Bat First","Bowl First")</f>
        <v>Bowl First</v>
      </c>
      <c r="Z35" s="1" t="str">
        <f>IF(Table13[[#This Row],[match_winner]]=Table13[[#This Row],[team1]],"Team1 Win","Team2 Win")</f>
        <v>Team2 Win</v>
      </c>
      <c r="AA35" s="1" t="str">
        <f>IF(Table13[[#This Row],[toss_winner]]=Table13[[#This Row],[match_winner]],Table13[[#This Row],[venue]],"No Advantage")</f>
        <v>Bangalore</v>
      </c>
    </row>
    <row r="36" spans="1:27" x14ac:dyDescent="0.3">
      <c r="A36">
        <v>35</v>
      </c>
      <c r="B36" t="s">
        <v>152</v>
      </c>
      <c r="C36" t="s">
        <v>261</v>
      </c>
      <c r="D36" t="s">
        <v>50</v>
      </c>
      <c r="E36" t="s">
        <v>43</v>
      </c>
      <c r="F36" t="s">
        <v>25</v>
      </c>
      <c r="G36" t="s">
        <v>50</v>
      </c>
      <c r="H36" t="s">
        <v>26</v>
      </c>
      <c r="I36">
        <v>203</v>
      </c>
      <c r="J36">
        <v>8</v>
      </c>
      <c r="K36">
        <v>204</v>
      </c>
      <c r="L36">
        <v>3</v>
      </c>
      <c r="M36" t="s">
        <v>27</v>
      </c>
      <c r="N36" t="s">
        <v>50</v>
      </c>
      <c r="P36">
        <v>7</v>
      </c>
      <c r="Q36">
        <v>4</v>
      </c>
      <c r="R36" t="s">
        <v>87</v>
      </c>
      <c r="S36" t="s">
        <v>87</v>
      </c>
      <c r="T36">
        <v>97</v>
      </c>
      <c r="U36" t="s">
        <v>67</v>
      </c>
      <c r="V36" t="s">
        <v>153</v>
      </c>
      <c r="W36">
        <f>IF(Table13[[#This Row],[toss_winner]]=Table13[[#This Row],[match_winner]],1,0)</f>
        <v>1</v>
      </c>
      <c r="X36" t="str">
        <f>IF(Table13[[#This Row],[toss_winner]]=Table13[[#This Row],[match_winner]],"Toss Winner Won","Toss Winner Lost")</f>
        <v>Toss Winner Won</v>
      </c>
      <c r="Y36" t="str">
        <f>IF(Table13[[#This Row],[toss_decision]]="Bat","Bat First","Bowl First")</f>
        <v>Bowl First</v>
      </c>
      <c r="Z36" s="1" t="str">
        <f>IF(Table13[[#This Row],[match_winner]]=Table13[[#This Row],[team1]],"Team1 Win","Team2 Win")</f>
        <v>Team1 Win</v>
      </c>
      <c r="AA36" s="1" t="str">
        <f>IF(Table13[[#This Row],[toss_winner]]=Table13[[#This Row],[match_winner]],Table13[[#This Row],[venue]],"No Advantage")</f>
        <v>Ahmedabad</v>
      </c>
    </row>
    <row r="37" spans="1:27" x14ac:dyDescent="0.3">
      <c r="A37">
        <v>36</v>
      </c>
      <c r="B37" t="s">
        <v>152</v>
      </c>
      <c r="C37" t="s">
        <v>267</v>
      </c>
      <c r="D37" t="s">
        <v>33</v>
      </c>
      <c r="E37" t="s">
        <v>44</v>
      </c>
      <c r="F37" t="s">
        <v>25</v>
      </c>
      <c r="G37" t="s">
        <v>44</v>
      </c>
      <c r="H37" t="s">
        <v>71</v>
      </c>
      <c r="I37">
        <v>180</v>
      </c>
      <c r="J37">
        <v>5</v>
      </c>
      <c r="K37">
        <v>178</v>
      </c>
      <c r="L37">
        <v>5</v>
      </c>
      <c r="M37" t="s">
        <v>27</v>
      </c>
      <c r="N37" t="s">
        <v>44</v>
      </c>
      <c r="O37">
        <v>2</v>
      </c>
      <c r="Q37">
        <v>0</v>
      </c>
      <c r="R37" t="s">
        <v>154</v>
      </c>
      <c r="S37" t="s">
        <v>103</v>
      </c>
      <c r="T37">
        <v>74</v>
      </c>
      <c r="U37" t="s">
        <v>154</v>
      </c>
      <c r="V37" t="s">
        <v>155</v>
      </c>
      <c r="W37">
        <f>IF(Table13[[#This Row],[toss_winner]]=Table13[[#This Row],[match_winner]],1,0)</f>
        <v>1</v>
      </c>
      <c r="X37" t="str">
        <f>IF(Table13[[#This Row],[toss_winner]]=Table13[[#This Row],[match_winner]],"Toss Winner Won","Toss Winner Lost")</f>
        <v>Toss Winner Won</v>
      </c>
      <c r="Y37" t="str">
        <f>IF(Table13[[#This Row],[toss_decision]]="Bat","Bat First","Bowl First")</f>
        <v>Bat First</v>
      </c>
      <c r="Z37" s="1" t="str">
        <f>IF(Table13[[#This Row],[match_winner]]=Table13[[#This Row],[team1]],"Team1 Win","Team2 Win")</f>
        <v>Team2 Win</v>
      </c>
      <c r="AA37" s="1" t="str">
        <f>IF(Table13[[#This Row],[toss_winner]]=Table13[[#This Row],[match_winner]],Table13[[#This Row],[venue]],"No Advantage")</f>
        <v>Jaipur</v>
      </c>
    </row>
    <row r="38" spans="1:27" x14ac:dyDescent="0.3">
      <c r="A38">
        <v>37</v>
      </c>
      <c r="B38" t="s">
        <v>156</v>
      </c>
      <c r="C38" t="s">
        <v>263</v>
      </c>
      <c r="D38" t="s">
        <v>51</v>
      </c>
      <c r="E38" t="s">
        <v>24</v>
      </c>
      <c r="F38" t="s">
        <v>25</v>
      </c>
      <c r="G38" t="s">
        <v>24</v>
      </c>
      <c r="H38" t="s">
        <v>26</v>
      </c>
      <c r="I38">
        <v>157</v>
      </c>
      <c r="J38">
        <v>6</v>
      </c>
      <c r="K38">
        <v>159</v>
      </c>
      <c r="L38">
        <v>3</v>
      </c>
      <c r="M38" t="s">
        <v>27</v>
      </c>
      <c r="N38" t="s">
        <v>51</v>
      </c>
      <c r="P38">
        <v>7</v>
      </c>
      <c r="Q38">
        <v>7</v>
      </c>
      <c r="R38" t="s">
        <v>29</v>
      </c>
      <c r="S38" t="s">
        <v>29</v>
      </c>
      <c r="T38">
        <v>73</v>
      </c>
      <c r="U38" t="s">
        <v>28</v>
      </c>
      <c r="V38" t="s">
        <v>101</v>
      </c>
      <c r="W38">
        <f>IF(Table13[[#This Row],[toss_winner]]=Table13[[#This Row],[match_winner]],1,0)</f>
        <v>0</v>
      </c>
      <c r="X38" t="str">
        <f>IF(Table13[[#This Row],[toss_winner]]=Table13[[#This Row],[match_winner]],"Toss Winner Won","Toss Winner Lost")</f>
        <v>Toss Winner Lost</v>
      </c>
      <c r="Y38" t="str">
        <f>IF(Table13[[#This Row],[toss_decision]]="Bat","Bat First","Bowl First")</f>
        <v>Bowl First</v>
      </c>
      <c r="Z38" s="1" t="str">
        <f>IF(Table13[[#This Row],[match_winner]]=Table13[[#This Row],[team1]],"Team1 Win","Team2 Win")</f>
        <v>Team1 Win</v>
      </c>
      <c r="AA38" s="1" t="str">
        <f>IF(Table13[[#This Row],[toss_winner]]=Table13[[#This Row],[match_winner]],Table13[[#This Row],[venue]],"No Advantage")</f>
        <v>No Advantage</v>
      </c>
    </row>
    <row r="39" spans="1:27" x14ac:dyDescent="0.3">
      <c r="A39">
        <v>38</v>
      </c>
      <c r="B39" t="s">
        <v>156</v>
      </c>
      <c r="C39" t="s">
        <v>269</v>
      </c>
      <c r="D39" t="s">
        <v>38</v>
      </c>
      <c r="E39" t="s">
        <v>37</v>
      </c>
      <c r="F39" t="s">
        <v>25</v>
      </c>
      <c r="G39" t="s">
        <v>38</v>
      </c>
      <c r="H39" t="s">
        <v>26</v>
      </c>
      <c r="I39">
        <v>176</v>
      </c>
      <c r="J39">
        <v>5</v>
      </c>
      <c r="K39">
        <v>177</v>
      </c>
      <c r="L39">
        <v>1</v>
      </c>
      <c r="M39" t="s">
        <v>27</v>
      </c>
      <c r="N39" t="s">
        <v>38</v>
      </c>
      <c r="P39">
        <v>9</v>
      </c>
      <c r="Q39">
        <v>26</v>
      </c>
      <c r="R39" t="s">
        <v>157</v>
      </c>
      <c r="S39" t="s">
        <v>157</v>
      </c>
      <c r="T39">
        <v>76</v>
      </c>
      <c r="U39" t="s">
        <v>158</v>
      </c>
      <c r="V39" t="s">
        <v>101</v>
      </c>
      <c r="W39">
        <f>IF(Table13[[#This Row],[toss_winner]]=Table13[[#This Row],[match_winner]],1,0)</f>
        <v>1</v>
      </c>
      <c r="X39" t="str">
        <f>IF(Table13[[#This Row],[toss_winner]]=Table13[[#This Row],[match_winner]],"Toss Winner Won","Toss Winner Lost")</f>
        <v>Toss Winner Won</v>
      </c>
      <c r="Y39" t="str">
        <f>IF(Table13[[#This Row],[toss_decision]]="Bat","Bat First","Bowl First")</f>
        <v>Bowl First</v>
      </c>
      <c r="Z39" s="1" t="str">
        <f>IF(Table13[[#This Row],[match_winner]]=Table13[[#This Row],[team1]],"Team1 Win","Team2 Win")</f>
        <v>Team1 Win</v>
      </c>
      <c r="AA39" s="1" t="str">
        <f>IF(Table13[[#This Row],[toss_winner]]=Table13[[#This Row],[match_winner]],Table13[[#This Row],[venue]],"No Advantage")</f>
        <v>Mumbai</v>
      </c>
    </row>
    <row r="40" spans="1:27" x14ac:dyDescent="0.3">
      <c r="A40">
        <v>39</v>
      </c>
      <c r="B40" t="s">
        <v>159</v>
      </c>
      <c r="C40" t="s">
        <v>251</v>
      </c>
      <c r="D40" t="s">
        <v>23</v>
      </c>
      <c r="E40" t="s">
        <v>50</v>
      </c>
      <c r="F40" t="s">
        <v>25</v>
      </c>
      <c r="G40" t="s">
        <v>23</v>
      </c>
      <c r="H40" t="s">
        <v>26</v>
      </c>
      <c r="I40">
        <v>198</v>
      </c>
      <c r="J40">
        <v>3</v>
      </c>
      <c r="K40">
        <v>159</v>
      </c>
      <c r="L40">
        <v>8</v>
      </c>
      <c r="M40" t="s">
        <v>27</v>
      </c>
      <c r="N40" t="s">
        <v>50</v>
      </c>
      <c r="O40">
        <v>39</v>
      </c>
      <c r="Q40">
        <v>0</v>
      </c>
      <c r="R40" t="s">
        <v>106</v>
      </c>
      <c r="S40" t="s">
        <v>106</v>
      </c>
      <c r="T40">
        <v>90</v>
      </c>
      <c r="U40" t="s">
        <v>67</v>
      </c>
      <c r="V40" t="s">
        <v>101</v>
      </c>
      <c r="W40">
        <f>IF(Table13[[#This Row],[toss_winner]]=Table13[[#This Row],[match_winner]],1,0)</f>
        <v>0</v>
      </c>
      <c r="X40" t="str">
        <f>IF(Table13[[#This Row],[toss_winner]]=Table13[[#This Row],[match_winner]],"Toss Winner Won","Toss Winner Lost")</f>
        <v>Toss Winner Lost</v>
      </c>
      <c r="Y40" t="str">
        <f>IF(Table13[[#This Row],[toss_decision]]="Bat","Bat First","Bowl First")</f>
        <v>Bowl First</v>
      </c>
      <c r="Z40" s="1" t="str">
        <f>IF(Table13[[#This Row],[match_winner]]=Table13[[#This Row],[team1]],"Team1 Win","Team2 Win")</f>
        <v>Team2 Win</v>
      </c>
      <c r="AA40" s="1" t="str">
        <f>IF(Table13[[#This Row],[toss_winner]]=Table13[[#This Row],[match_winner]],Table13[[#This Row],[venue]],"No Advantage")</f>
        <v>No Advantage</v>
      </c>
    </row>
    <row r="41" spans="1:27" x14ac:dyDescent="0.3">
      <c r="A41">
        <v>40</v>
      </c>
      <c r="B41" t="s">
        <v>160</v>
      </c>
      <c r="C41" t="s">
        <v>253</v>
      </c>
      <c r="D41" t="s">
        <v>44</v>
      </c>
      <c r="E41" t="s">
        <v>43</v>
      </c>
      <c r="F41" t="s">
        <v>25</v>
      </c>
      <c r="G41" t="s">
        <v>43</v>
      </c>
      <c r="H41" t="s">
        <v>26</v>
      </c>
      <c r="I41">
        <v>159</v>
      </c>
      <c r="J41">
        <v>6</v>
      </c>
      <c r="K41">
        <v>161</v>
      </c>
      <c r="L41">
        <v>2</v>
      </c>
      <c r="M41" t="s">
        <v>27</v>
      </c>
      <c r="N41" t="s">
        <v>43</v>
      </c>
      <c r="P41">
        <v>8</v>
      </c>
      <c r="Q41">
        <v>13</v>
      </c>
      <c r="R41" t="s">
        <v>161</v>
      </c>
      <c r="S41" t="s">
        <v>99</v>
      </c>
      <c r="T41">
        <v>57</v>
      </c>
      <c r="U41" t="s">
        <v>161</v>
      </c>
      <c r="V41" t="s">
        <v>162</v>
      </c>
      <c r="W41">
        <f>IF(Table13[[#This Row],[toss_winner]]=Table13[[#This Row],[match_winner]],1,0)</f>
        <v>1</v>
      </c>
      <c r="X41" t="str">
        <f>IF(Table13[[#This Row],[toss_winner]]=Table13[[#This Row],[match_winner]],"Toss Winner Won","Toss Winner Lost")</f>
        <v>Toss Winner Won</v>
      </c>
      <c r="Y41" t="str">
        <f>IF(Table13[[#This Row],[toss_decision]]="Bat","Bat First","Bowl First")</f>
        <v>Bowl First</v>
      </c>
      <c r="Z41" s="1" t="str">
        <f>IF(Table13[[#This Row],[match_winner]]=Table13[[#This Row],[team1]],"Team1 Win","Team2 Win")</f>
        <v>Team2 Win</v>
      </c>
      <c r="AA41" s="1" t="str">
        <f>IF(Table13[[#This Row],[toss_winner]]=Table13[[#This Row],[match_winner]],Table13[[#This Row],[venue]],"No Advantage")</f>
        <v>Lucknow</v>
      </c>
    </row>
    <row r="42" spans="1:27" x14ac:dyDescent="0.3">
      <c r="A42">
        <v>41</v>
      </c>
      <c r="B42" t="s">
        <v>163</v>
      </c>
      <c r="C42" t="s">
        <v>263</v>
      </c>
      <c r="D42" t="s">
        <v>32</v>
      </c>
      <c r="E42" t="s">
        <v>38</v>
      </c>
      <c r="F42" t="s">
        <v>25</v>
      </c>
      <c r="G42" t="s">
        <v>32</v>
      </c>
      <c r="H42" t="s">
        <v>26</v>
      </c>
      <c r="I42">
        <v>143</v>
      </c>
      <c r="J42">
        <v>8</v>
      </c>
      <c r="K42">
        <v>146</v>
      </c>
      <c r="L42">
        <v>3</v>
      </c>
      <c r="M42" t="s">
        <v>27</v>
      </c>
      <c r="N42" t="s">
        <v>38</v>
      </c>
      <c r="P42">
        <v>7</v>
      </c>
      <c r="Q42">
        <v>26</v>
      </c>
      <c r="R42" t="s">
        <v>164</v>
      </c>
      <c r="S42" t="s">
        <v>165</v>
      </c>
      <c r="T42">
        <v>71</v>
      </c>
      <c r="U42" t="s">
        <v>164</v>
      </c>
      <c r="V42" t="s">
        <v>166</v>
      </c>
      <c r="W42">
        <f>IF(Table13[[#This Row],[toss_winner]]=Table13[[#This Row],[match_winner]],1,0)</f>
        <v>0</v>
      </c>
      <c r="X42" t="str">
        <f>IF(Table13[[#This Row],[toss_winner]]=Table13[[#This Row],[match_winner]],"Toss Winner Won","Toss Winner Lost")</f>
        <v>Toss Winner Lost</v>
      </c>
      <c r="Y42" t="str">
        <f>IF(Table13[[#This Row],[toss_decision]]="Bat","Bat First","Bowl First")</f>
        <v>Bowl First</v>
      </c>
      <c r="Z42" s="1" t="str">
        <f>IF(Table13[[#This Row],[match_winner]]=Table13[[#This Row],[team1]],"Team1 Win","Team2 Win")</f>
        <v>Team2 Win</v>
      </c>
      <c r="AA42" s="1" t="str">
        <f>IF(Table13[[#This Row],[toss_winner]]=Table13[[#This Row],[match_winner]],Table13[[#This Row],[venue]],"No Advantage")</f>
        <v>No Advantage</v>
      </c>
    </row>
    <row r="43" spans="1:27" x14ac:dyDescent="0.3">
      <c r="A43">
        <v>42</v>
      </c>
      <c r="B43" t="s">
        <v>167</v>
      </c>
      <c r="C43" t="s">
        <v>257</v>
      </c>
      <c r="D43" t="s">
        <v>24</v>
      </c>
      <c r="E43" t="s">
        <v>33</v>
      </c>
      <c r="F43" t="s">
        <v>25</v>
      </c>
      <c r="G43" t="s">
        <v>33</v>
      </c>
      <c r="H43" t="s">
        <v>26</v>
      </c>
      <c r="I43">
        <v>205</v>
      </c>
      <c r="J43">
        <v>5</v>
      </c>
      <c r="K43">
        <v>194</v>
      </c>
      <c r="L43">
        <v>9</v>
      </c>
      <c r="M43" t="s">
        <v>27</v>
      </c>
      <c r="N43" t="s">
        <v>24</v>
      </c>
      <c r="O43">
        <v>11</v>
      </c>
      <c r="Q43">
        <v>0</v>
      </c>
      <c r="R43" t="s">
        <v>64</v>
      </c>
      <c r="S43" t="s">
        <v>29</v>
      </c>
      <c r="T43">
        <v>70</v>
      </c>
      <c r="U43" t="s">
        <v>64</v>
      </c>
      <c r="V43" t="s">
        <v>162</v>
      </c>
      <c r="W43">
        <f>IF(Table13[[#This Row],[toss_winner]]=Table13[[#This Row],[match_winner]],1,0)</f>
        <v>0</v>
      </c>
      <c r="X43" t="str">
        <f>IF(Table13[[#This Row],[toss_winner]]=Table13[[#This Row],[match_winner]],"Toss Winner Won","Toss Winner Lost")</f>
        <v>Toss Winner Lost</v>
      </c>
      <c r="Y43" t="str">
        <f>IF(Table13[[#This Row],[toss_decision]]="Bat","Bat First","Bowl First")</f>
        <v>Bowl First</v>
      </c>
      <c r="Z43" s="1" t="str">
        <f>IF(Table13[[#This Row],[match_winner]]=Table13[[#This Row],[team1]],"Team1 Win","Team2 Win")</f>
        <v>Team1 Win</v>
      </c>
      <c r="AA43" s="1" t="str">
        <f>IF(Table13[[#This Row],[toss_winner]]=Table13[[#This Row],[match_winner]],Table13[[#This Row],[venue]],"No Advantage")</f>
        <v>No Advantage</v>
      </c>
    </row>
    <row r="44" spans="1:27" x14ac:dyDescent="0.3">
      <c r="A44">
        <v>43</v>
      </c>
      <c r="B44" t="s">
        <v>168</v>
      </c>
      <c r="C44" t="s">
        <v>259</v>
      </c>
      <c r="D44" t="s">
        <v>37</v>
      </c>
      <c r="E44" t="s">
        <v>32</v>
      </c>
      <c r="F44" t="s">
        <v>25</v>
      </c>
      <c r="G44" t="s">
        <v>32</v>
      </c>
      <c r="H44" t="s">
        <v>26</v>
      </c>
      <c r="I44">
        <v>154</v>
      </c>
      <c r="J44">
        <v>10</v>
      </c>
      <c r="K44">
        <v>155</v>
      </c>
      <c r="L44">
        <v>5</v>
      </c>
      <c r="M44" t="s">
        <v>27</v>
      </c>
      <c r="N44" t="s">
        <v>32</v>
      </c>
      <c r="P44">
        <v>5</v>
      </c>
      <c r="Q44">
        <v>8</v>
      </c>
      <c r="R44" t="s">
        <v>127</v>
      </c>
      <c r="S44" t="s">
        <v>34</v>
      </c>
      <c r="T44">
        <v>44</v>
      </c>
      <c r="U44" t="s">
        <v>127</v>
      </c>
      <c r="V44" t="s">
        <v>142</v>
      </c>
      <c r="W44">
        <f>IF(Table13[[#This Row],[toss_winner]]=Table13[[#This Row],[match_winner]],1,0)</f>
        <v>1</v>
      </c>
      <c r="X44" t="str">
        <f>IF(Table13[[#This Row],[toss_winner]]=Table13[[#This Row],[match_winner]],"Toss Winner Won","Toss Winner Lost")</f>
        <v>Toss Winner Won</v>
      </c>
      <c r="Y44" t="str">
        <f>IF(Table13[[#This Row],[toss_decision]]="Bat","Bat First","Bowl First")</f>
        <v>Bowl First</v>
      </c>
      <c r="Z44" s="1" t="str">
        <f>IF(Table13[[#This Row],[match_winner]]=Table13[[#This Row],[team1]],"Team1 Win","Team2 Win")</f>
        <v>Team2 Win</v>
      </c>
      <c r="AA44" s="1" t="str">
        <f>IF(Table13[[#This Row],[toss_winner]]=Table13[[#This Row],[match_winner]],Table13[[#This Row],[venue]],"No Advantage")</f>
        <v>Chennai</v>
      </c>
    </row>
    <row r="45" spans="1:27" x14ac:dyDescent="0.3">
      <c r="A45">
        <v>45</v>
      </c>
      <c r="B45" t="s">
        <v>169</v>
      </c>
      <c r="C45" t="s">
        <v>269</v>
      </c>
      <c r="D45" t="s">
        <v>38</v>
      </c>
      <c r="E45" t="s">
        <v>44</v>
      </c>
      <c r="F45" t="s">
        <v>25</v>
      </c>
      <c r="G45" t="s">
        <v>44</v>
      </c>
      <c r="H45" t="s">
        <v>26</v>
      </c>
      <c r="I45">
        <v>215</v>
      </c>
      <c r="J45">
        <v>7</v>
      </c>
      <c r="K45">
        <v>161</v>
      </c>
      <c r="L45">
        <v>10</v>
      </c>
      <c r="M45" t="s">
        <v>27</v>
      </c>
      <c r="N45" t="s">
        <v>38</v>
      </c>
      <c r="O45">
        <v>54</v>
      </c>
      <c r="Q45">
        <v>0</v>
      </c>
      <c r="R45" t="s">
        <v>147</v>
      </c>
      <c r="S45" t="s">
        <v>79</v>
      </c>
      <c r="T45">
        <v>58</v>
      </c>
      <c r="U45" t="s">
        <v>158</v>
      </c>
      <c r="V45" t="s">
        <v>170</v>
      </c>
      <c r="W45">
        <f>IF(Table13[[#This Row],[toss_winner]]=Table13[[#This Row],[match_winner]],1,0)</f>
        <v>0</v>
      </c>
      <c r="X45" t="str">
        <f>IF(Table13[[#This Row],[toss_winner]]=Table13[[#This Row],[match_winner]],"Toss Winner Won","Toss Winner Lost")</f>
        <v>Toss Winner Lost</v>
      </c>
      <c r="Y45" t="str">
        <f>IF(Table13[[#This Row],[toss_decision]]="Bat","Bat First","Bowl First")</f>
        <v>Bowl First</v>
      </c>
      <c r="Z45" s="1" t="str">
        <f>IF(Table13[[#This Row],[match_winner]]=Table13[[#This Row],[team1]],"Team1 Win","Team2 Win")</f>
        <v>Team1 Win</v>
      </c>
      <c r="AA45" s="1" t="str">
        <f>IF(Table13[[#This Row],[toss_winner]]=Table13[[#This Row],[match_winner]],Table13[[#This Row],[venue]],"No Advantage")</f>
        <v>No Advantage</v>
      </c>
    </row>
    <row r="46" spans="1:27" x14ac:dyDescent="0.3">
      <c r="A46">
        <v>46</v>
      </c>
      <c r="B46" t="s">
        <v>169</v>
      </c>
      <c r="C46" t="s">
        <v>246</v>
      </c>
      <c r="D46" t="s">
        <v>43</v>
      </c>
      <c r="E46" t="s">
        <v>24</v>
      </c>
      <c r="F46" t="s">
        <v>25</v>
      </c>
      <c r="G46" t="s">
        <v>24</v>
      </c>
      <c r="H46" t="s">
        <v>26</v>
      </c>
      <c r="I46">
        <v>162</v>
      </c>
      <c r="J46">
        <v>8</v>
      </c>
      <c r="K46">
        <v>165</v>
      </c>
      <c r="L46">
        <v>4</v>
      </c>
      <c r="M46" t="s">
        <v>27</v>
      </c>
      <c r="N46" t="s">
        <v>24</v>
      </c>
      <c r="P46">
        <v>6</v>
      </c>
      <c r="Q46">
        <v>9</v>
      </c>
      <c r="R46" t="s">
        <v>28</v>
      </c>
      <c r="S46" t="s">
        <v>28</v>
      </c>
      <c r="T46">
        <v>73</v>
      </c>
      <c r="U46" t="s">
        <v>171</v>
      </c>
      <c r="V46" t="s">
        <v>172</v>
      </c>
      <c r="W46">
        <f>IF(Table13[[#This Row],[toss_winner]]=Table13[[#This Row],[match_winner]],1,0)</f>
        <v>1</v>
      </c>
      <c r="X46" t="str">
        <f>IF(Table13[[#This Row],[toss_winner]]=Table13[[#This Row],[match_winner]],"Toss Winner Won","Toss Winner Lost")</f>
        <v>Toss Winner Won</v>
      </c>
      <c r="Y46" t="str">
        <f>IF(Table13[[#This Row],[toss_decision]]="Bat","Bat First","Bowl First")</f>
        <v>Bowl First</v>
      </c>
      <c r="Z46" s="1" t="str">
        <f>IF(Table13[[#This Row],[match_winner]]=Table13[[#This Row],[team1]],"Team1 Win","Team2 Win")</f>
        <v>Team2 Win</v>
      </c>
      <c r="AA46" s="1" t="str">
        <f>IF(Table13[[#This Row],[toss_winner]]=Table13[[#This Row],[match_winner]],Table13[[#This Row],[venue]],"No Advantage")</f>
        <v>Delhi</v>
      </c>
    </row>
    <row r="47" spans="1:27" x14ac:dyDescent="0.3">
      <c r="A47">
        <v>47</v>
      </c>
      <c r="B47" t="s">
        <v>173</v>
      </c>
      <c r="C47" t="s">
        <v>267</v>
      </c>
      <c r="D47" t="s">
        <v>33</v>
      </c>
      <c r="E47" t="s">
        <v>50</v>
      </c>
      <c r="F47" t="s">
        <v>25</v>
      </c>
      <c r="G47" t="s">
        <v>33</v>
      </c>
      <c r="H47" t="s">
        <v>26</v>
      </c>
      <c r="I47">
        <v>209</v>
      </c>
      <c r="J47">
        <v>4</v>
      </c>
      <c r="K47">
        <v>212</v>
      </c>
      <c r="L47">
        <v>2</v>
      </c>
      <c r="M47" t="s">
        <v>27</v>
      </c>
      <c r="N47" t="s">
        <v>33</v>
      </c>
      <c r="P47">
        <v>8</v>
      </c>
      <c r="Q47">
        <v>25</v>
      </c>
      <c r="R47" t="s">
        <v>174</v>
      </c>
      <c r="S47" t="s">
        <v>174</v>
      </c>
      <c r="T47">
        <v>101</v>
      </c>
      <c r="U47" t="s">
        <v>175</v>
      </c>
      <c r="V47" t="s">
        <v>176</v>
      </c>
      <c r="W47">
        <f>IF(Table13[[#This Row],[toss_winner]]=Table13[[#This Row],[match_winner]],1,0)</f>
        <v>1</v>
      </c>
      <c r="X47" t="str">
        <f>IF(Table13[[#This Row],[toss_winner]]=Table13[[#This Row],[match_winner]],"Toss Winner Won","Toss Winner Lost")</f>
        <v>Toss Winner Won</v>
      </c>
      <c r="Y47" t="str">
        <f>IF(Table13[[#This Row],[toss_decision]]="Bat","Bat First","Bowl First")</f>
        <v>Bowl First</v>
      </c>
      <c r="Z47" s="1" t="str">
        <f>IF(Table13[[#This Row],[match_winner]]=Table13[[#This Row],[team1]],"Team1 Win","Team2 Win")</f>
        <v>Team1 Win</v>
      </c>
      <c r="AA47" s="1" t="str">
        <f>IF(Table13[[#This Row],[toss_winner]]=Table13[[#This Row],[match_winner]],Table13[[#This Row],[venue]],"No Advantage")</f>
        <v>Jaipur</v>
      </c>
    </row>
    <row r="48" spans="1:27" x14ac:dyDescent="0.3">
      <c r="A48">
        <v>48</v>
      </c>
      <c r="B48" t="s">
        <v>177</v>
      </c>
      <c r="C48" t="s">
        <v>246</v>
      </c>
      <c r="D48" t="s">
        <v>43</v>
      </c>
      <c r="E48" t="s">
        <v>23</v>
      </c>
      <c r="F48" t="s">
        <v>25</v>
      </c>
      <c r="G48" t="s">
        <v>43</v>
      </c>
      <c r="H48" t="s">
        <v>26</v>
      </c>
      <c r="I48">
        <v>204</v>
      </c>
      <c r="J48">
        <v>9</v>
      </c>
      <c r="K48">
        <v>190</v>
      </c>
      <c r="L48">
        <v>9</v>
      </c>
      <c r="M48" t="s">
        <v>27</v>
      </c>
      <c r="N48" t="s">
        <v>23</v>
      </c>
      <c r="O48">
        <v>14</v>
      </c>
      <c r="Q48">
        <v>0</v>
      </c>
      <c r="R48" t="s">
        <v>121</v>
      </c>
      <c r="S48" t="s">
        <v>178</v>
      </c>
      <c r="T48">
        <v>62</v>
      </c>
      <c r="U48" t="s">
        <v>121</v>
      </c>
      <c r="V48" t="s">
        <v>30</v>
      </c>
      <c r="W48">
        <f>IF(Table13[[#This Row],[toss_winner]]=Table13[[#This Row],[match_winner]],1,0)</f>
        <v>0</v>
      </c>
      <c r="X48" t="str">
        <f>IF(Table13[[#This Row],[toss_winner]]=Table13[[#This Row],[match_winner]],"Toss Winner Won","Toss Winner Lost")</f>
        <v>Toss Winner Lost</v>
      </c>
      <c r="Y48" t="str">
        <f>IF(Table13[[#This Row],[toss_decision]]="Bat","Bat First","Bowl First")</f>
        <v>Bowl First</v>
      </c>
      <c r="Z48" s="1" t="str">
        <f>IF(Table13[[#This Row],[match_winner]]=Table13[[#This Row],[team1]],"Team1 Win","Team2 Win")</f>
        <v>Team2 Win</v>
      </c>
      <c r="AA48" s="1" t="str">
        <f>IF(Table13[[#This Row],[toss_winner]]=Table13[[#This Row],[match_winner]],Table13[[#This Row],[venue]],"No Advantage")</f>
        <v>No Advantage</v>
      </c>
    </row>
    <row r="49" spans="1:27" x14ac:dyDescent="0.3">
      <c r="A49">
        <v>49</v>
      </c>
      <c r="B49" t="s">
        <v>179</v>
      </c>
      <c r="C49" t="s">
        <v>259</v>
      </c>
      <c r="D49" t="s">
        <v>37</v>
      </c>
      <c r="E49" t="s">
        <v>51</v>
      </c>
      <c r="F49" t="s">
        <v>25</v>
      </c>
      <c r="G49" t="s">
        <v>51</v>
      </c>
      <c r="H49" t="s">
        <v>26</v>
      </c>
      <c r="I49">
        <v>190</v>
      </c>
      <c r="J49">
        <v>10</v>
      </c>
      <c r="K49">
        <v>194</v>
      </c>
      <c r="L49">
        <v>6</v>
      </c>
      <c r="M49" t="s">
        <v>27</v>
      </c>
      <c r="N49" t="s">
        <v>51</v>
      </c>
      <c r="P49">
        <v>4</v>
      </c>
      <c r="Q49">
        <v>2</v>
      </c>
      <c r="R49" t="s">
        <v>52</v>
      </c>
      <c r="S49" t="s">
        <v>180</v>
      </c>
      <c r="T49">
        <v>88</v>
      </c>
      <c r="U49" t="s">
        <v>140</v>
      </c>
      <c r="V49" t="s">
        <v>181</v>
      </c>
      <c r="W49">
        <f>IF(Table13[[#This Row],[toss_winner]]=Table13[[#This Row],[match_winner]],1,0)</f>
        <v>1</v>
      </c>
      <c r="X49" t="str">
        <f>IF(Table13[[#This Row],[toss_winner]]=Table13[[#This Row],[match_winner]],"Toss Winner Won","Toss Winner Lost")</f>
        <v>Toss Winner Won</v>
      </c>
      <c r="Y49" t="str">
        <f>IF(Table13[[#This Row],[toss_decision]]="Bat","Bat First","Bowl First")</f>
        <v>Bowl First</v>
      </c>
      <c r="Z49" s="1" t="str">
        <f>IF(Table13[[#This Row],[match_winner]]=Table13[[#This Row],[team1]],"Team1 Win","Team2 Win")</f>
        <v>Team2 Win</v>
      </c>
      <c r="AA49" s="1" t="str">
        <f>IF(Table13[[#This Row],[toss_winner]]=Table13[[#This Row],[match_winner]],Table13[[#This Row],[venue]],"No Advantage")</f>
        <v>Chennai</v>
      </c>
    </row>
    <row r="50" spans="1:27" x14ac:dyDescent="0.3">
      <c r="A50">
        <v>50</v>
      </c>
      <c r="B50" t="s">
        <v>182</v>
      </c>
      <c r="C50" t="s">
        <v>267</v>
      </c>
      <c r="D50" t="s">
        <v>33</v>
      </c>
      <c r="E50" t="s">
        <v>38</v>
      </c>
      <c r="F50" t="s">
        <v>25</v>
      </c>
      <c r="G50" t="s">
        <v>33</v>
      </c>
      <c r="H50" t="s">
        <v>26</v>
      </c>
      <c r="I50">
        <v>217</v>
      </c>
      <c r="J50">
        <v>2</v>
      </c>
      <c r="K50">
        <v>117</v>
      </c>
      <c r="L50">
        <v>10</v>
      </c>
      <c r="M50" t="s">
        <v>27</v>
      </c>
      <c r="N50" t="s">
        <v>38</v>
      </c>
      <c r="O50">
        <v>100</v>
      </c>
      <c r="Q50">
        <v>23</v>
      </c>
      <c r="R50" t="s">
        <v>79</v>
      </c>
      <c r="S50" t="s">
        <v>79</v>
      </c>
      <c r="T50">
        <v>61</v>
      </c>
      <c r="U50" t="s">
        <v>132</v>
      </c>
      <c r="V50" t="s">
        <v>183</v>
      </c>
      <c r="W50">
        <f>IF(Table13[[#This Row],[toss_winner]]=Table13[[#This Row],[match_winner]],1,0)</f>
        <v>0</v>
      </c>
      <c r="X50" t="str">
        <f>IF(Table13[[#This Row],[toss_winner]]=Table13[[#This Row],[match_winner]],"Toss Winner Won","Toss Winner Lost")</f>
        <v>Toss Winner Lost</v>
      </c>
      <c r="Y50" t="str">
        <f>IF(Table13[[#This Row],[toss_decision]]="Bat","Bat First","Bowl First")</f>
        <v>Bowl First</v>
      </c>
      <c r="Z50" s="1" t="str">
        <f>IF(Table13[[#This Row],[match_winner]]=Table13[[#This Row],[team1]],"Team1 Win","Team2 Win")</f>
        <v>Team2 Win</v>
      </c>
      <c r="AA50" s="1" t="str">
        <f>IF(Table13[[#This Row],[toss_winner]]=Table13[[#This Row],[match_winner]],Table13[[#This Row],[venue]],"No Advantage")</f>
        <v>No Advantage</v>
      </c>
    </row>
    <row r="51" spans="1:27" x14ac:dyDescent="0.3">
      <c r="A51">
        <v>51</v>
      </c>
      <c r="B51" t="s">
        <v>184</v>
      </c>
      <c r="C51" t="s">
        <v>261</v>
      </c>
      <c r="D51" t="s">
        <v>50</v>
      </c>
      <c r="E51" t="s">
        <v>32</v>
      </c>
      <c r="F51" t="s">
        <v>25</v>
      </c>
      <c r="G51" t="s">
        <v>32</v>
      </c>
      <c r="H51" t="s">
        <v>26</v>
      </c>
      <c r="I51">
        <v>224</v>
      </c>
      <c r="J51">
        <v>6</v>
      </c>
      <c r="K51">
        <v>186</v>
      </c>
      <c r="L51">
        <v>6</v>
      </c>
      <c r="M51" t="s">
        <v>27</v>
      </c>
      <c r="N51" t="s">
        <v>50</v>
      </c>
      <c r="O51">
        <v>38</v>
      </c>
      <c r="Q51">
        <v>0</v>
      </c>
      <c r="R51" t="s">
        <v>67</v>
      </c>
      <c r="S51" t="s">
        <v>106</v>
      </c>
      <c r="T51">
        <v>76</v>
      </c>
      <c r="U51" t="s">
        <v>185</v>
      </c>
      <c r="V51" t="s">
        <v>186</v>
      </c>
      <c r="W51">
        <f>IF(Table13[[#This Row],[toss_winner]]=Table13[[#This Row],[match_winner]],1,0)</f>
        <v>0</v>
      </c>
      <c r="X51" t="str">
        <f>IF(Table13[[#This Row],[toss_winner]]=Table13[[#This Row],[match_winner]],"Toss Winner Won","Toss Winner Lost")</f>
        <v>Toss Winner Lost</v>
      </c>
      <c r="Y51" t="str">
        <f>IF(Table13[[#This Row],[toss_decision]]="Bat","Bat First","Bowl First")</f>
        <v>Bowl First</v>
      </c>
      <c r="Z51" s="1" t="str">
        <f>IF(Table13[[#This Row],[match_winner]]=Table13[[#This Row],[team1]],"Team1 Win","Team2 Win")</f>
        <v>Team1 Win</v>
      </c>
      <c r="AA51" s="1" t="str">
        <f>IF(Table13[[#This Row],[toss_winner]]=Table13[[#This Row],[match_winner]],Table13[[#This Row],[venue]],"No Advantage")</f>
        <v>No Advantage</v>
      </c>
    </row>
    <row r="52" spans="1:27" x14ac:dyDescent="0.3">
      <c r="A52">
        <v>52</v>
      </c>
      <c r="B52" t="s">
        <v>187</v>
      </c>
      <c r="C52" t="s">
        <v>257</v>
      </c>
      <c r="D52" t="s">
        <v>24</v>
      </c>
      <c r="E52" t="s">
        <v>37</v>
      </c>
      <c r="F52" t="s">
        <v>25</v>
      </c>
      <c r="G52" t="s">
        <v>37</v>
      </c>
      <c r="H52" t="s">
        <v>26</v>
      </c>
      <c r="I52">
        <v>213</v>
      </c>
      <c r="J52">
        <v>5</v>
      </c>
      <c r="K52">
        <v>211</v>
      </c>
      <c r="L52">
        <v>5</v>
      </c>
      <c r="M52" t="s">
        <v>27</v>
      </c>
      <c r="N52" t="s">
        <v>24</v>
      </c>
      <c r="O52">
        <v>2</v>
      </c>
      <c r="Q52">
        <v>0</v>
      </c>
      <c r="R52" t="s">
        <v>188</v>
      </c>
      <c r="S52" t="s">
        <v>189</v>
      </c>
      <c r="T52">
        <v>94</v>
      </c>
      <c r="U52" t="s">
        <v>190</v>
      </c>
      <c r="V52" t="s">
        <v>54</v>
      </c>
      <c r="W52">
        <f>IF(Table13[[#This Row],[toss_winner]]=Table13[[#This Row],[match_winner]],1,0)</f>
        <v>0</v>
      </c>
      <c r="X52" t="str">
        <f>IF(Table13[[#This Row],[toss_winner]]=Table13[[#This Row],[match_winner]],"Toss Winner Won","Toss Winner Lost")</f>
        <v>Toss Winner Lost</v>
      </c>
      <c r="Y52" t="str">
        <f>IF(Table13[[#This Row],[toss_decision]]="Bat","Bat First","Bowl First")</f>
        <v>Bowl First</v>
      </c>
      <c r="Z52" s="1" t="str">
        <f>IF(Table13[[#This Row],[match_winner]]=Table13[[#This Row],[team1]],"Team1 Win","Team2 Win")</f>
        <v>Team1 Win</v>
      </c>
      <c r="AA52" s="1" t="str">
        <f>IF(Table13[[#This Row],[toss_winner]]=Table13[[#This Row],[match_winner]],Table13[[#This Row],[venue]],"No Advantage")</f>
        <v>No Advantage</v>
      </c>
    </row>
    <row r="53" spans="1:27" x14ac:dyDescent="0.3">
      <c r="A53">
        <v>53</v>
      </c>
      <c r="B53" t="s">
        <v>191</v>
      </c>
      <c r="C53" t="s">
        <v>251</v>
      </c>
      <c r="D53" t="s">
        <v>23</v>
      </c>
      <c r="E53" t="s">
        <v>33</v>
      </c>
      <c r="F53" t="s">
        <v>25</v>
      </c>
      <c r="G53" t="s">
        <v>23</v>
      </c>
      <c r="H53" t="s">
        <v>71</v>
      </c>
      <c r="I53">
        <v>206</v>
      </c>
      <c r="J53">
        <v>4</v>
      </c>
      <c r="K53">
        <v>205</v>
      </c>
      <c r="L53">
        <v>8</v>
      </c>
      <c r="M53" t="s">
        <v>27</v>
      </c>
      <c r="N53" t="s">
        <v>23</v>
      </c>
      <c r="O53">
        <v>1</v>
      </c>
      <c r="Q53">
        <v>0</v>
      </c>
      <c r="R53" t="s">
        <v>192</v>
      </c>
      <c r="S53" t="s">
        <v>193</v>
      </c>
      <c r="T53">
        <v>95</v>
      </c>
      <c r="U53" t="s">
        <v>57</v>
      </c>
      <c r="V53" t="s">
        <v>145</v>
      </c>
      <c r="W53">
        <f>IF(Table13[[#This Row],[toss_winner]]=Table13[[#This Row],[match_winner]],1,0)</f>
        <v>1</v>
      </c>
      <c r="X53" t="str">
        <f>IF(Table13[[#This Row],[toss_winner]]=Table13[[#This Row],[match_winner]],"Toss Winner Won","Toss Winner Lost")</f>
        <v>Toss Winner Won</v>
      </c>
      <c r="Y53" t="str">
        <f>IF(Table13[[#This Row],[toss_decision]]="Bat","Bat First","Bowl First")</f>
        <v>Bat First</v>
      </c>
      <c r="Z53" s="1" t="str">
        <f>IF(Table13[[#This Row],[match_winner]]=Table13[[#This Row],[team1]],"Team1 Win","Team2 Win")</f>
        <v>Team1 Win</v>
      </c>
      <c r="AA53" s="1" t="str">
        <f>IF(Table13[[#This Row],[toss_winner]]=Table13[[#This Row],[match_winner]],Table13[[#This Row],[venue]],"No Advantage")</f>
        <v>Kolkata</v>
      </c>
    </row>
    <row r="54" spans="1:27" x14ac:dyDescent="0.3">
      <c r="A54">
        <v>54</v>
      </c>
      <c r="B54" t="s">
        <v>191</v>
      </c>
      <c r="C54" t="s">
        <v>255</v>
      </c>
      <c r="D54" t="s">
        <v>51</v>
      </c>
      <c r="E54" t="s">
        <v>44</v>
      </c>
      <c r="F54" t="s">
        <v>25</v>
      </c>
      <c r="G54" t="s">
        <v>44</v>
      </c>
      <c r="H54" t="s">
        <v>26</v>
      </c>
      <c r="I54">
        <v>236</v>
      </c>
      <c r="J54">
        <v>5</v>
      </c>
      <c r="K54">
        <v>199</v>
      </c>
      <c r="L54">
        <v>7</v>
      </c>
      <c r="M54" t="s">
        <v>27</v>
      </c>
      <c r="N54" t="s">
        <v>51</v>
      </c>
      <c r="O54">
        <v>37</v>
      </c>
      <c r="Q54">
        <v>0</v>
      </c>
      <c r="R54" t="s">
        <v>82</v>
      </c>
      <c r="S54" t="s">
        <v>82</v>
      </c>
      <c r="T54">
        <v>91</v>
      </c>
      <c r="U54" t="s">
        <v>83</v>
      </c>
      <c r="V54" t="s">
        <v>194</v>
      </c>
      <c r="W54">
        <f>IF(Table13[[#This Row],[toss_winner]]=Table13[[#This Row],[match_winner]],1,0)</f>
        <v>0</v>
      </c>
      <c r="X54" t="str">
        <f>IF(Table13[[#This Row],[toss_winner]]=Table13[[#This Row],[match_winner]],"Toss Winner Won","Toss Winner Lost")</f>
        <v>Toss Winner Lost</v>
      </c>
      <c r="Y54" t="str">
        <f>IF(Table13[[#This Row],[toss_decision]]="Bat","Bat First","Bowl First")</f>
        <v>Bowl First</v>
      </c>
      <c r="Z54" s="1" t="str">
        <f>IF(Table13[[#This Row],[match_winner]]=Table13[[#This Row],[team1]],"Team1 Win","Team2 Win")</f>
        <v>Team1 Win</v>
      </c>
      <c r="AA54" s="1" t="str">
        <f>IF(Table13[[#This Row],[toss_winner]]=Table13[[#This Row],[match_winner]],Table13[[#This Row],[venue]],"No Advantage")</f>
        <v>No Advantage</v>
      </c>
    </row>
    <row r="55" spans="1:27" x14ac:dyDescent="0.3">
      <c r="A55">
        <v>56</v>
      </c>
      <c r="B55" t="s">
        <v>195</v>
      </c>
      <c r="C55" t="s">
        <v>269</v>
      </c>
      <c r="D55" t="s">
        <v>38</v>
      </c>
      <c r="E55" t="s">
        <v>50</v>
      </c>
      <c r="F55" t="s">
        <v>25</v>
      </c>
      <c r="G55" t="s">
        <v>50</v>
      </c>
      <c r="H55" t="s">
        <v>26</v>
      </c>
      <c r="I55">
        <v>155</v>
      </c>
      <c r="J55">
        <v>8</v>
      </c>
      <c r="K55">
        <v>147</v>
      </c>
      <c r="L55">
        <v>7</v>
      </c>
      <c r="M55" t="s">
        <v>27</v>
      </c>
      <c r="N55" t="s">
        <v>50</v>
      </c>
      <c r="P55">
        <v>3</v>
      </c>
      <c r="Q55">
        <v>0</v>
      </c>
      <c r="R55" t="s">
        <v>106</v>
      </c>
      <c r="S55" t="s">
        <v>147</v>
      </c>
      <c r="T55">
        <v>53</v>
      </c>
      <c r="U55" t="s">
        <v>158</v>
      </c>
      <c r="V55" t="s">
        <v>196</v>
      </c>
      <c r="W55">
        <f>IF(Table13[[#This Row],[toss_winner]]=Table13[[#This Row],[match_winner]],1,0)</f>
        <v>1</v>
      </c>
      <c r="X55" t="str">
        <f>IF(Table13[[#This Row],[toss_winner]]=Table13[[#This Row],[match_winner]],"Toss Winner Won","Toss Winner Lost")</f>
        <v>Toss Winner Won</v>
      </c>
      <c r="Y55" t="str">
        <f>IF(Table13[[#This Row],[toss_decision]]="Bat","Bat First","Bowl First")</f>
        <v>Bowl First</v>
      </c>
      <c r="Z55" s="1" t="str">
        <f>IF(Table13[[#This Row],[match_winner]]=Table13[[#This Row],[team1]],"Team1 Win","Team2 Win")</f>
        <v>Team2 Win</v>
      </c>
      <c r="AA55" s="1" t="str">
        <f>IF(Table13[[#This Row],[toss_winner]]=Table13[[#This Row],[match_winner]],Table13[[#This Row],[venue]],"No Advantage")</f>
        <v>Mumbai</v>
      </c>
    </row>
    <row r="56" spans="1:27" x14ac:dyDescent="0.3">
      <c r="A56">
        <v>57</v>
      </c>
      <c r="B56" t="s">
        <v>197</v>
      </c>
      <c r="C56" t="s">
        <v>251</v>
      </c>
      <c r="D56" t="s">
        <v>23</v>
      </c>
      <c r="E56" t="s">
        <v>37</v>
      </c>
      <c r="F56" t="s">
        <v>25</v>
      </c>
      <c r="G56" t="s">
        <v>23</v>
      </c>
      <c r="H56" t="s">
        <v>71</v>
      </c>
      <c r="I56">
        <v>179</v>
      </c>
      <c r="J56">
        <v>6</v>
      </c>
      <c r="K56">
        <v>183</v>
      </c>
      <c r="L56">
        <v>8</v>
      </c>
      <c r="M56" t="s">
        <v>27</v>
      </c>
      <c r="N56" t="s">
        <v>37</v>
      </c>
      <c r="P56">
        <v>2</v>
      </c>
      <c r="Q56">
        <v>2</v>
      </c>
      <c r="R56" t="s">
        <v>39</v>
      </c>
      <c r="S56" t="s">
        <v>198</v>
      </c>
      <c r="T56">
        <v>52</v>
      </c>
      <c r="U56" t="s">
        <v>39</v>
      </c>
      <c r="V56" t="s">
        <v>199</v>
      </c>
      <c r="W56">
        <f>IF(Table13[[#This Row],[toss_winner]]=Table13[[#This Row],[match_winner]],1,0)</f>
        <v>0</v>
      </c>
      <c r="X56" t="str">
        <f>IF(Table13[[#This Row],[toss_winner]]=Table13[[#This Row],[match_winner]],"Toss Winner Won","Toss Winner Lost")</f>
        <v>Toss Winner Lost</v>
      </c>
      <c r="Y56" t="str">
        <f>IF(Table13[[#This Row],[toss_decision]]="Bat","Bat First","Bowl First")</f>
        <v>Bat First</v>
      </c>
      <c r="Z56" s="1" t="str">
        <f>IF(Table13[[#This Row],[match_winner]]=Table13[[#This Row],[team1]],"Team1 Win","Team2 Win")</f>
        <v>Team2 Win</v>
      </c>
      <c r="AA56" s="1" t="str">
        <f>IF(Table13[[#This Row],[toss_winner]]=Table13[[#This Row],[match_winner]],Table13[[#This Row],[venue]],"No Advantage")</f>
        <v>No Advantage</v>
      </c>
    </row>
    <row r="57" spans="1:27" x14ac:dyDescent="0.3">
      <c r="A57">
        <v>59</v>
      </c>
      <c r="B57" t="s">
        <v>200</v>
      </c>
      <c r="C57" t="s">
        <v>267</v>
      </c>
      <c r="D57" t="s">
        <v>33</v>
      </c>
      <c r="E57" t="s">
        <v>51</v>
      </c>
      <c r="F57" t="s">
        <v>25</v>
      </c>
      <c r="G57" t="s">
        <v>51</v>
      </c>
      <c r="H57" t="s">
        <v>71</v>
      </c>
      <c r="I57">
        <v>219</v>
      </c>
      <c r="J57">
        <v>5</v>
      </c>
      <c r="K57">
        <v>209</v>
      </c>
      <c r="L57">
        <v>7</v>
      </c>
      <c r="M57" t="s">
        <v>27</v>
      </c>
      <c r="N57" t="s">
        <v>51</v>
      </c>
      <c r="O57">
        <v>10</v>
      </c>
      <c r="Q57">
        <v>0</v>
      </c>
      <c r="R57" t="s">
        <v>201</v>
      </c>
      <c r="S57" t="s">
        <v>202</v>
      </c>
      <c r="T57">
        <v>70</v>
      </c>
      <c r="U57" t="s">
        <v>201</v>
      </c>
      <c r="V57" t="s">
        <v>92</v>
      </c>
      <c r="W57">
        <f>IF(Table13[[#This Row],[toss_winner]]=Table13[[#This Row],[match_winner]],1,0)</f>
        <v>1</v>
      </c>
      <c r="X57" t="str">
        <f>IF(Table13[[#This Row],[toss_winner]]=Table13[[#This Row],[match_winner]],"Toss Winner Won","Toss Winner Lost")</f>
        <v>Toss Winner Won</v>
      </c>
      <c r="Y57" t="str">
        <f>IF(Table13[[#This Row],[toss_decision]]="Bat","Bat First","Bowl First")</f>
        <v>Bat First</v>
      </c>
      <c r="Z57" s="1" t="str">
        <f>IF(Table13[[#This Row],[match_winner]]=Table13[[#This Row],[team1]],"Team1 Win","Team2 Win")</f>
        <v>Team2 Win</v>
      </c>
      <c r="AA57" s="1" t="str">
        <f>IF(Table13[[#This Row],[toss_winner]]=Table13[[#This Row],[match_winner]],Table13[[#This Row],[venue]],"No Advantage")</f>
        <v>Jaipur</v>
      </c>
    </row>
    <row r="58" spans="1:27" x14ac:dyDescent="0.3">
      <c r="A58">
        <v>60</v>
      </c>
      <c r="B58" t="s">
        <v>200</v>
      </c>
      <c r="C58" t="s">
        <v>246</v>
      </c>
      <c r="D58" t="s">
        <v>43</v>
      </c>
      <c r="E58" t="s">
        <v>50</v>
      </c>
      <c r="F58" t="s">
        <v>25</v>
      </c>
      <c r="G58" t="s">
        <v>50</v>
      </c>
      <c r="H58" t="s">
        <v>26</v>
      </c>
      <c r="I58">
        <v>199</v>
      </c>
      <c r="J58">
        <v>3</v>
      </c>
      <c r="K58">
        <v>205</v>
      </c>
      <c r="L58">
        <v>0</v>
      </c>
      <c r="M58" t="s">
        <v>27</v>
      </c>
      <c r="N58" t="s">
        <v>50</v>
      </c>
      <c r="P58">
        <v>10</v>
      </c>
      <c r="Q58">
        <v>6</v>
      </c>
      <c r="R58" t="s">
        <v>68</v>
      </c>
      <c r="S58" t="s">
        <v>68</v>
      </c>
      <c r="T58">
        <v>108</v>
      </c>
      <c r="U58" t="s">
        <v>203</v>
      </c>
      <c r="V58" t="s">
        <v>204</v>
      </c>
      <c r="W58">
        <f>IF(Table13[[#This Row],[toss_winner]]=Table13[[#This Row],[match_winner]],1,0)</f>
        <v>1</v>
      </c>
      <c r="X58" t="str">
        <f>IF(Table13[[#This Row],[toss_winner]]=Table13[[#This Row],[match_winner]],"Toss Winner Won","Toss Winner Lost")</f>
        <v>Toss Winner Won</v>
      </c>
      <c r="Y58" t="str">
        <f>IF(Table13[[#This Row],[toss_decision]]="Bat","Bat First","Bowl First")</f>
        <v>Bowl First</v>
      </c>
      <c r="Z58" s="1" t="str">
        <f>IF(Table13[[#This Row],[match_winner]]=Table13[[#This Row],[team1]],"Team1 Win","Team2 Win")</f>
        <v>Team2 Win</v>
      </c>
      <c r="AA58" s="1" t="str">
        <f>IF(Table13[[#This Row],[toss_winner]]=Table13[[#This Row],[match_winner]],Table13[[#This Row],[venue]],"No Advantage")</f>
        <v>Delhi</v>
      </c>
    </row>
    <row r="59" spans="1:27" x14ac:dyDescent="0.3">
      <c r="A59">
        <v>61</v>
      </c>
      <c r="B59" t="s">
        <v>205</v>
      </c>
      <c r="C59" t="s">
        <v>253</v>
      </c>
      <c r="D59" t="s">
        <v>44</v>
      </c>
      <c r="E59" t="s">
        <v>32</v>
      </c>
      <c r="F59" t="s">
        <v>25</v>
      </c>
      <c r="G59" t="s">
        <v>32</v>
      </c>
      <c r="H59" t="s">
        <v>26</v>
      </c>
      <c r="I59">
        <v>205</v>
      </c>
      <c r="J59">
        <v>7</v>
      </c>
      <c r="K59">
        <v>206</v>
      </c>
      <c r="L59">
        <v>4</v>
      </c>
      <c r="M59" t="s">
        <v>27</v>
      </c>
      <c r="N59" t="s">
        <v>32</v>
      </c>
      <c r="P59">
        <v>6</v>
      </c>
      <c r="Q59">
        <v>10</v>
      </c>
      <c r="R59" t="s">
        <v>126</v>
      </c>
      <c r="S59" t="s">
        <v>206</v>
      </c>
      <c r="T59">
        <v>65</v>
      </c>
      <c r="U59" t="s">
        <v>207</v>
      </c>
      <c r="V59" t="s">
        <v>208</v>
      </c>
      <c r="W59">
        <f>IF(Table13[[#This Row],[toss_winner]]=Table13[[#This Row],[match_winner]],1,0)</f>
        <v>1</v>
      </c>
      <c r="X59" t="str">
        <f>IF(Table13[[#This Row],[toss_winner]]=Table13[[#This Row],[match_winner]],"Toss Winner Won","Toss Winner Lost")</f>
        <v>Toss Winner Won</v>
      </c>
      <c r="Y59" t="str">
        <f>IF(Table13[[#This Row],[toss_decision]]="Bat","Bat First","Bowl First")</f>
        <v>Bowl First</v>
      </c>
      <c r="Z59" s="1" t="str">
        <f>IF(Table13[[#This Row],[match_winner]]=Table13[[#This Row],[team1]],"Team1 Win","Team2 Win")</f>
        <v>Team2 Win</v>
      </c>
      <c r="AA59" s="1" t="str">
        <f>IF(Table13[[#This Row],[toss_winner]]=Table13[[#This Row],[match_winner]],Table13[[#This Row],[venue]],"No Advantage")</f>
        <v>Lucknow</v>
      </c>
    </row>
    <row r="60" spans="1:27" x14ac:dyDescent="0.3">
      <c r="A60">
        <v>62</v>
      </c>
      <c r="B60" t="s">
        <v>209</v>
      </c>
      <c r="C60" t="s">
        <v>246</v>
      </c>
      <c r="D60" t="s">
        <v>37</v>
      </c>
      <c r="E60" t="s">
        <v>33</v>
      </c>
      <c r="F60" t="s">
        <v>25</v>
      </c>
      <c r="G60" t="s">
        <v>33</v>
      </c>
      <c r="H60" t="s">
        <v>26</v>
      </c>
      <c r="I60">
        <v>187</v>
      </c>
      <c r="J60">
        <v>8</v>
      </c>
      <c r="K60">
        <v>188</v>
      </c>
      <c r="L60">
        <v>4</v>
      </c>
      <c r="M60" t="s">
        <v>27</v>
      </c>
      <c r="N60" t="s">
        <v>33</v>
      </c>
      <c r="P60">
        <v>6</v>
      </c>
      <c r="Q60">
        <v>17</v>
      </c>
      <c r="R60" t="s">
        <v>210</v>
      </c>
      <c r="S60" t="s">
        <v>174</v>
      </c>
      <c r="T60">
        <v>57</v>
      </c>
      <c r="U60" t="s">
        <v>210</v>
      </c>
      <c r="V60" t="s">
        <v>30</v>
      </c>
      <c r="W60">
        <f>IF(Table13[[#This Row],[toss_winner]]=Table13[[#This Row],[match_winner]],1,0)</f>
        <v>1</v>
      </c>
      <c r="X60" t="str">
        <f>IF(Table13[[#This Row],[toss_winner]]=Table13[[#This Row],[match_winner]],"Toss Winner Won","Toss Winner Lost")</f>
        <v>Toss Winner Won</v>
      </c>
      <c r="Y60" t="str">
        <f>IF(Table13[[#This Row],[toss_decision]]="Bat","Bat First","Bowl First")</f>
        <v>Bowl First</v>
      </c>
      <c r="Z60" s="1" t="str">
        <f>IF(Table13[[#This Row],[match_winner]]=Table13[[#This Row],[team1]],"Team1 Win","Team2 Win")</f>
        <v>Team2 Win</v>
      </c>
      <c r="AA60" s="1" t="str">
        <f>IF(Table13[[#This Row],[toss_winner]]=Table13[[#This Row],[match_winner]],Table13[[#This Row],[venue]],"No Advantage")</f>
        <v>Delhi</v>
      </c>
    </row>
    <row r="61" spans="1:27" x14ac:dyDescent="0.3">
      <c r="A61">
        <v>63</v>
      </c>
      <c r="B61" t="s">
        <v>211</v>
      </c>
      <c r="C61" t="s">
        <v>269</v>
      </c>
      <c r="D61" t="s">
        <v>38</v>
      </c>
      <c r="E61" t="s">
        <v>43</v>
      </c>
      <c r="F61" t="s">
        <v>25</v>
      </c>
      <c r="G61" t="s">
        <v>43</v>
      </c>
      <c r="H61" t="s">
        <v>26</v>
      </c>
      <c r="I61">
        <v>180</v>
      </c>
      <c r="J61">
        <v>5</v>
      </c>
      <c r="K61">
        <v>121</v>
      </c>
      <c r="L61">
        <v>10</v>
      </c>
      <c r="M61" t="s">
        <v>27</v>
      </c>
      <c r="N61" t="s">
        <v>38</v>
      </c>
      <c r="O61">
        <v>59</v>
      </c>
      <c r="Q61">
        <v>10</v>
      </c>
      <c r="R61" t="s">
        <v>95</v>
      </c>
      <c r="S61" t="s">
        <v>95</v>
      </c>
      <c r="T61">
        <v>73</v>
      </c>
      <c r="U61" t="s">
        <v>212</v>
      </c>
      <c r="V61" t="s">
        <v>213</v>
      </c>
      <c r="W61">
        <f>IF(Table13[[#This Row],[toss_winner]]=Table13[[#This Row],[match_winner]],1,0)</f>
        <v>0</v>
      </c>
      <c r="X61" t="str">
        <f>IF(Table13[[#This Row],[toss_winner]]=Table13[[#This Row],[match_winner]],"Toss Winner Won","Toss Winner Lost")</f>
        <v>Toss Winner Lost</v>
      </c>
      <c r="Y61" t="str">
        <f>IF(Table13[[#This Row],[toss_decision]]="Bat","Bat First","Bowl First")</f>
        <v>Bowl First</v>
      </c>
      <c r="Z61" s="1" t="str">
        <f>IF(Table13[[#This Row],[match_winner]]=Table13[[#This Row],[team1]],"Team1 Win","Team2 Win")</f>
        <v>Team1 Win</v>
      </c>
      <c r="AA61" s="1" t="str">
        <f>IF(Table13[[#This Row],[toss_winner]]=Table13[[#This Row],[match_winner]],Table13[[#This Row],[venue]],"No Advantage")</f>
        <v>No Advantage</v>
      </c>
    </row>
    <row r="62" spans="1:27" x14ac:dyDescent="0.3">
      <c r="A62">
        <v>64</v>
      </c>
      <c r="B62" t="s">
        <v>214</v>
      </c>
      <c r="C62" t="s">
        <v>261</v>
      </c>
      <c r="D62" t="s">
        <v>50</v>
      </c>
      <c r="E62" t="s">
        <v>44</v>
      </c>
      <c r="F62" t="s">
        <v>25</v>
      </c>
      <c r="G62" t="s">
        <v>50</v>
      </c>
      <c r="H62" t="s">
        <v>26</v>
      </c>
      <c r="I62">
        <v>235</v>
      </c>
      <c r="J62">
        <v>2</v>
      </c>
      <c r="K62">
        <v>202</v>
      </c>
      <c r="L62">
        <v>9</v>
      </c>
      <c r="M62" t="s">
        <v>27</v>
      </c>
      <c r="N62" t="s">
        <v>44</v>
      </c>
      <c r="O62">
        <v>33</v>
      </c>
      <c r="Q62">
        <v>0</v>
      </c>
      <c r="R62" t="s">
        <v>206</v>
      </c>
      <c r="S62" t="s">
        <v>206</v>
      </c>
      <c r="T62">
        <v>117</v>
      </c>
      <c r="U62" t="s">
        <v>215</v>
      </c>
      <c r="V62" t="s">
        <v>216</v>
      </c>
      <c r="W62">
        <f>IF(Table13[[#This Row],[toss_winner]]=Table13[[#This Row],[match_winner]],1,0)</f>
        <v>0</v>
      </c>
      <c r="X62" t="str">
        <f>IF(Table13[[#This Row],[toss_winner]]=Table13[[#This Row],[match_winner]],"Toss Winner Won","Toss Winner Lost")</f>
        <v>Toss Winner Lost</v>
      </c>
      <c r="Y62" t="str">
        <f>IF(Table13[[#This Row],[toss_decision]]="Bat","Bat First","Bowl First")</f>
        <v>Bowl First</v>
      </c>
      <c r="Z62" s="1" t="str">
        <f>IF(Table13[[#This Row],[match_winner]]=Table13[[#This Row],[team1]],"Team1 Win","Team2 Win")</f>
        <v>Team2 Win</v>
      </c>
      <c r="AA62" s="1" t="str">
        <f>IF(Table13[[#This Row],[toss_winner]]=Table13[[#This Row],[match_winner]],Table13[[#This Row],[venue]],"No Advantage")</f>
        <v>No Advantage</v>
      </c>
    </row>
    <row r="63" spans="1:27" x14ac:dyDescent="0.3">
      <c r="A63">
        <v>65</v>
      </c>
      <c r="B63" t="s">
        <v>217</v>
      </c>
      <c r="C63" t="s">
        <v>253</v>
      </c>
      <c r="D63" t="s">
        <v>24</v>
      </c>
      <c r="E63" t="s">
        <v>32</v>
      </c>
      <c r="F63" t="s">
        <v>25</v>
      </c>
      <c r="G63" t="s">
        <v>24</v>
      </c>
      <c r="H63" t="s">
        <v>26</v>
      </c>
      <c r="I63">
        <v>231</v>
      </c>
      <c r="J63">
        <v>6</v>
      </c>
      <c r="K63">
        <v>189</v>
      </c>
      <c r="L63">
        <v>10</v>
      </c>
      <c r="M63" t="s">
        <v>27</v>
      </c>
      <c r="N63" t="s">
        <v>32</v>
      </c>
      <c r="O63">
        <v>42</v>
      </c>
      <c r="Q63">
        <v>1</v>
      </c>
      <c r="R63" t="s">
        <v>34</v>
      </c>
      <c r="S63" t="s">
        <v>34</v>
      </c>
      <c r="T63">
        <v>94</v>
      </c>
      <c r="U63" t="s">
        <v>148</v>
      </c>
      <c r="V63" t="s">
        <v>218</v>
      </c>
      <c r="W63">
        <f>IF(Table13[[#This Row],[toss_winner]]=Table13[[#This Row],[match_winner]],1,0)</f>
        <v>0</v>
      </c>
      <c r="X63" t="str">
        <f>IF(Table13[[#This Row],[toss_winner]]=Table13[[#This Row],[match_winner]],"Toss Winner Won","Toss Winner Lost")</f>
        <v>Toss Winner Lost</v>
      </c>
      <c r="Y63" t="str">
        <f>IF(Table13[[#This Row],[toss_decision]]="Bat","Bat First","Bowl First")</f>
        <v>Bowl First</v>
      </c>
      <c r="Z63" s="1" t="str">
        <f>IF(Table13[[#This Row],[match_winner]]=Table13[[#This Row],[team1]],"Team1 Win","Team2 Win")</f>
        <v>Team2 Win</v>
      </c>
      <c r="AA63" s="1" t="str">
        <f>IF(Table13[[#This Row],[toss_winner]]=Table13[[#This Row],[match_winner]],Table13[[#This Row],[venue]],"No Advantage")</f>
        <v>No Advantage</v>
      </c>
    </row>
    <row r="64" spans="1:27" x14ac:dyDescent="0.3">
      <c r="A64">
        <v>66</v>
      </c>
      <c r="B64" t="s">
        <v>219</v>
      </c>
      <c r="C64" t="s">
        <v>267</v>
      </c>
      <c r="D64" t="s">
        <v>51</v>
      </c>
      <c r="E64" t="s">
        <v>43</v>
      </c>
      <c r="F64" t="s">
        <v>25</v>
      </c>
      <c r="G64" t="s">
        <v>43</v>
      </c>
      <c r="H64" t="s">
        <v>26</v>
      </c>
      <c r="I64">
        <v>206</v>
      </c>
      <c r="J64">
        <v>8</v>
      </c>
      <c r="K64">
        <v>208</v>
      </c>
      <c r="L64">
        <v>4</v>
      </c>
      <c r="M64" t="s">
        <v>27</v>
      </c>
      <c r="N64" t="s">
        <v>43</v>
      </c>
      <c r="P64">
        <v>6</v>
      </c>
      <c r="Q64">
        <v>3</v>
      </c>
      <c r="R64" t="s">
        <v>220</v>
      </c>
      <c r="S64" t="s">
        <v>220</v>
      </c>
      <c r="T64">
        <v>58</v>
      </c>
      <c r="U64" t="s">
        <v>221</v>
      </c>
      <c r="V64" t="s">
        <v>172</v>
      </c>
      <c r="W64">
        <f>IF(Table13[[#This Row],[toss_winner]]=Table13[[#This Row],[match_winner]],1,0)</f>
        <v>1</v>
      </c>
      <c r="X64" t="str">
        <f>IF(Table13[[#This Row],[toss_winner]]=Table13[[#This Row],[match_winner]],"Toss Winner Won","Toss Winner Lost")</f>
        <v>Toss Winner Won</v>
      </c>
      <c r="Y64" t="str">
        <f>IF(Table13[[#This Row],[toss_decision]]="Bat","Bat First","Bowl First")</f>
        <v>Bowl First</v>
      </c>
      <c r="Z64" s="1" t="str">
        <f>IF(Table13[[#This Row],[match_winner]]=Table13[[#This Row],[team1]],"Team1 Win","Team2 Win")</f>
        <v>Team2 Win</v>
      </c>
      <c r="AA64" s="1" t="str">
        <f>IF(Table13[[#This Row],[toss_winner]]=Table13[[#This Row],[match_winner]],Table13[[#This Row],[venue]],"No Advantage")</f>
        <v>Jaipur</v>
      </c>
    </row>
    <row r="65" spans="1:27" x14ac:dyDescent="0.3">
      <c r="A65">
        <v>67</v>
      </c>
      <c r="B65" t="s">
        <v>222</v>
      </c>
      <c r="C65" t="s">
        <v>261</v>
      </c>
      <c r="D65" t="s">
        <v>50</v>
      </c>
      <c r="E65" t="s">
        <v>37</v>
      </c>
      <c r="F65" t="s">
        <v>25</v>
      </c>
      <c r="G65" t="s">
        <v>37</v>
      </c>
      <c r="H65" t="s">
        <v>71</v>
      </c>
      <c r="I65">
        <v>230</v>
      </c>
      <c r="J65">
        <v>5</v>
      </c>
      <c r="K65">
        <v>147</v>
      </c>
      <c r="L65">
        <v>10</v>
      </c>
      <c r="M65" t="s">
        <v>27</v>
      </c>
      <c r="N65" t="s">
        <v>37</v>
      </c>
      <c r="O65">
        <v>83</v>
      </c>
      <c r="Q65">
        <v>9</v>
      </c>
      <c r="R65" t="s">
        <v>198</v>
      </c>
      <c r="S65" t="s">
        <v>198</v>
      </c>
      <c r="T65">
        <v>57</v>
      </c>
      <c r="U65" t="s">
        <v>39</v>
      </c>
      <c r="V65" t="s">
        <v>65</v>
      </c>
      <c r="W65">
        <f>IF(Table13[[#This Row],[toss_winner]]=Table13[[#This Row],[match_winner]],1,0)</f>
        <v>1</v>
      </c>
      <c r="X65" t="str">
        <f>IF(Table13[[#This Row],[toss_winner]]=Table13[[#This Row],[match_winner]],"Toss Winner Won","Toss Winner Lost")</f>
        <v>Toss Winner Won</v>
      </c>
      <c r="Y65" t="str">
        <f>IF(Table13[[#This Row],[toss_decision]]="Bat","Bat First","Bowl First")</f>
        <v>Bat First</v>
      </c>
      <c r="Z65" s="1" t="str">
        <f>IF(Table13[[#This Row],[match_winner]]=Table13[[#This Row],[team1]],"Team1 Win","Team2 Win")</f>
        <v>Team2 Win</v>
      </c>
      <c r="AA65" s="1" t="str">
        <f>IF(Table13[[#This Row],[toss_winner]]=Table13[[#This Row],[match_winner]],Table13[[#This Row],[venue]],"No Advantage")</f>
        <v>Ahmedabad</v>
      </c>
    </row>
    <row r="66" spans="1:27" x14ac:dyDescent="0.3">
      <c r="A66">
        <v>68</v>
      </c>
      <c r="B66" t="s">
        <v>222</v>
      </c>
      <c r="C66" t="s">
        <v>246</v>
      </c>
      <c r="D66" t="s">
        <v>23</v>
      </c>
      <c r="E66" t="s">
        <v>32</v>
      </c>
      <c r="F66" t="s">
        <v>25</v>
      </c>
      <c r="G66" t="s">
        <v>32</v>
      </c>
      <c r="H66" t="s">
        <v>71</v>
      </c>
      <c r="I66">
        <v>278</v>
      </c>
      <c r="J66">
        <v>3</v>
      </c>
      <c r="K66">
        <v>168</v>
      </c>
      <c r="L66">
        <v>10</v>
      </c>
      <c r="M66" t="s">
        <v>27</v>
      </c>
      <c r="N66" t="s">
        <v>32</v>
      </c>
      <c r="O66">
        <v>110</v>
      </c>
      <c r="Q66">
        <v>8</v>
      </c>
      <c r="R66" t="s">
        <v>165</v>
      </c>
      <c r="S66" t="s">
        <v>165</v>
      </c>
      <c r="T66">
        <v>105</v>
      </c>
      <c r="U66" t="s">
        <v>185</v>
      </c>
      <c r="V66" t="s">
        <v>117</v>
      </c>
      <c r="W66">
        <f>IF(Table13[[#This Row],[toss_winner]]=Table13[[#This Row],[match_winner]],1,0)</f>
        <v>1</v>
      </c>
      <c r="X66" t="str">
        <f>IF(Table13[[#This Row],[toss_winner]]=Table13[[#This Row],[match_winner]],"Toss Winner Won","Toss Winner Lost")</f>
        <v>Toss Winner Won</v>
      </c>
      <c r="Y66" t="str">
        <f>IF(Table13[[#This Row],[toss_decision]]="Bat","Bat First","Bowl First")</f>
        <v>Bat First</v>
      </c>
      <c r="Z66" s="1" t="str">
        <f>IF(Table13[[#This Row],[match_winner]]=Table13[[#This Row],[team1]],"Team1 Win","Team2 Win")</f>
        <v>Team2 Win</v>
      </c>
      <c r="AA66" s="1" t="str">
        <f>IF(Table13[[#This Row],[toss_winner]]=Table13[[#This Row],[match_winner]],Table13[[#This Row],[venue]],"No Advantage")</f>
        <v>Delhi</v>
      </c>
    </row>
    <row r="67" spans="1:27" x14ac:dyDescent="0.3">
      <c r="A67">
        <v>69</v>
      </c>
      <c r="B67" t="s">
        <v>223</v>
      </c>
      <c r="C67" t="s">
        <v>267</v>
      </c>
      <c r="D67" t="s">
        <v>51</v>
      </c>
      <c r="E67" t="s">
        <v>38</v>
      </c>
      <c r="F67" t="s">
        <v>25</v>
      </c>
      <c r="G67" t="s">
        <v>51</v>
      </c>
      <c r="H67" t="s">
        <v>26</v>
      </c>
      <c r="I67">
        <v>184</v>
      </c>
      <c r="J67">
        <v>7</v>
      </c>
      <c r="K67">
        <v>187</v>
      </c>
      <c r="L67">
        <v>3</v>
      </c>
      <c r="M67" t="s">
        <v>27</v>
      </c>
      <c r="N67" t="s">
        <v>51</v>
      </c>
      <c r="P67">
        <v>7</v>
      </c>
      <c r="Q67">
        <v>9</v>
      </c>
      <c r="R67" t="s">
        <v>224</v>
      </c>
      <c r="S67" t="s">
        <v>224</v>
      </c>
      <c r="T67">
        <v>73</v>
      </c>
      <c r="U67" t="s">
        <v>83</v>
      </c>
      <c r="V67" t="s">
        <v>208</v>
      </c>
      <c r="W67">
        <f>IF(Table13[[#This Row],[toss_winner]]=Table13[[#This Row],[match_winner]],1,0)</f>
        <v>1</v>
      </c>
      <c r="X67" t="str">
        <f>IF(Table13[[#This Row],[toss_winner]]=Table13[[#This Row],[match_winner]],"Toss Winner Won","Toss Winner Lost")</f>
        <v>Toss Winner Won</v>
      </c>
      <c r="Y67" t="str">
        <f>IF(Table13[[#This Row],[toss_decision]]="Bat","Bat First","Bowl First")</f>
        <v>Bowl First</v>
      </c>
      <c r="Z67" s="1" t="str">
        <f>IF(Table13[[#This Row],[match_winner]]=Table13[[#This Row],[team1]],"Team1 Win","Team2 Win")</f>
        <v>Team1 Win</v>
      </c>
      <c r="AA67" s="1" t="str">
        <f>IF(Table13[[#This Row],[toss_winner]]=Table13[[#This Row],[match_winner]],Table13[[#This Row],[venue]],"No Advantage")</f>
        <v>Jaipur</v>
      </c>
    </row>
    <row r="68" spans="1:27" x14ac:dyDescent="0.3">
      <c r="A68">
        <v>70</v>
      </c>
      <c r="B68" t="s">
        <v>225</v>
      </c>
      <c r="C68" t="s">
        <v>253</v>
      </c>
      <c r="D68" t="s">
        <v>44</v>
      </c>
      <c r="E68" t="s">
        <v>24</v>
      </c>
      <c r="F68" t="s">
        <v>25</v>
      </c>
      <c r="G68" t="s">
        <v>24</v>
      </c>
      <c r="H68" t="s">
        <v>26</v>
      </c>
      <c r="I68">
        <v>227</v>
      </c>
      <c r="J68">
        <v>3</v>
      </c>
      <c r="K68">
        <v>230</v>
      </c>
      <c r="L68">
        <v>4</v>
      </c>
      <c r="M68" t="s">
        <v>27</v>
      </c>
      <c r="N68" t="s">
        <v>24</v>
      </c>
      <c r="P68">
        <v>6</v>
      </c>
      <c r="Q68">
        <v>8</v>
      </c>
      <c r="R68" t="s">
        <v>226</v>
      </c>
      <c r="S68" t="s">
        <v>137</v>
      </c>
      <c r="T68">
        <v>118</v>
      </c>
      <c r="U68" t="s">
        <v>215</v>
      </c>
      <c r="V68" t="s">
        <v>227</v>
      </c>
      <c r="W68">
        <f>IF(Table13[[#This Row],[toss_winner]]=Table13[[#This Row],[match_winner]],1,0)</f>
        <v>1</v>
      </c>
      <c r="X68" t="str">
        <f>IF(Table13[[#This Row],[toss_winner]]=Table13[[#This Row],[match_winner]],"Toss Winner Won","Toss Winner Lost")</f>
        <v>Toss Winner Won</v>
      </c>
      <c r="Y68" t="str">
        <f>IF(Table13[[#This Row],[toss_decision]]="Bat","Bat First","Bowl First")</f>
        <v>Bowl First</v>
      </c>
      <c r="Z68" s="1" t="str">
        <f>IF(Table13[[#This Row],[match_winner]]=Table13[[#This Row],[team1]],"Team1 Win","Team2 Win")</f>
        <v>Team2 Win</v>
      </c>
      <c r="AA68" s="1" t="str">
        <f>IF(Table13[[#This Row],[toss_winner]]=Table13[[#This Row],[match_winner]],Table13[[#This Row],[venue]],"No Advantage")</f>
        <v>Lucknow</v>
      </c>
    </row>
    <row r="69" spans="1:27" x14ac:dyDescent="0.3">
      <c r="A69">
        <v>71</v>
      </c>
      <c r="B69" t="s">
        <v>228</v>
      </c>
      <c r="C69" t="s">
        <v>263</v>
      </c>
      <c r="D69" t="s">
        <v>51</v>
      </c>
      <c r="E69" t="s">
        <v>24</v>
      </c>
      <c r="F69" t="s">
        <v>229</v>
      </c>
      <c r="G69" t="s">
        <v>24</v>
      </c>
      <c r="H69" t="s">
        <v>26</v>
      </c>
      <c r="I69">
        <v>101</v>
      </c>
      <c r="J69">
        <v>10</v>
      </c>
      <c r="K69">
        <v>106</v>
      </c>
      <c r="L69">
        <v>2</v>
      </c>
      <c r="M69" t="s">
        <v>27</v>
      </c>
      <c r="N69" t="s">
        <v>24</v>
      </c>
      <c r="P69">
        <v>8</v>
      </c>
      <c r="Q69">
        <v>60</v>
      </c>
      <c r="R69" t="s">
        <v>230</v>
      </c>
      <c r="S69" t="s">
        <v>130</v>
      </c>
      <c r="T69">
        <v>56</v>
      </c>
      <c r="U69" t="s">
        <v>230</v>
      </c>
      <c r="V69" t="s">
        <v>231</v>
      </c>
      <c r="W69">
        <f>IF(Table13[[#This Row],[toss_winner]]=Table13[[#This Row],[match_winner]],1,0)</f>
        <v>1</v>
      </c>
      <c r="X69" t="str">
        <f>IF(Table13[[#This Row],[toss_winner]]=Table13[[#This Row],[match_winner]],"Toss Winner Won","Toss Winner Lost")</f>
        <v>Toss Winner Won</v>
      </c>
      <c r="Y69" t="str">
        <f>IF(Table13[[#This Row],[toss_decision]]="Bat","Bat First","Bowl First")</f>
        <v>Bowl First</v>
      </c>
      <c r="Z69" s="1" t="str">
        <f>IF(Table13[[#This Row],[match_winner]]=Table13[[#This Row],[team1]],"Team1 Win","Team2 Win")</f>
        <v>Team2 Win</v>
      </c>
      <c r="AA69" s="1" t="str">
        <f>IF(Table13[[#This Row],[toss_winner]]=Table13[[#This Row],[match_winner]],Table13[[#This Row],[venue]],"No Advantage")</f>
        <v>Mullanpur</v>
      </c>
    </row>
    <row r="70" spans="1:27" x14ac:dyDescent="0.3">
      <c r="A70">
        <v>72</v>
      </c>
      <c r="B70" t="s">
        <v>232</v>
      </c>
      <c r="C70" t="s">
        <v>263</v>
      </c>
      <c r="D70" t="s">
        <v>50</v>
      </c>
      <c r="E70" t="s">
        <v>38</v>
      </c>
      <c r="F70" t="s">
        <v>229</v>
      </c>
      <c r="G70" t="s">
        <v>38</v>
      </c>
      <c r="H70" t="s">
        <v>71</v>
      </c>
      <c r="I70">
        <v>228</v>
      </c>
      <c r="J70">
        <v>5</v>
      </c>
      <c r="K70">
        <v>208</v>
      </c>
      <c r="L70">
        <v>6</v>
      </c>
      <c r="M70" t="s">
        <v>27</v>
      </c>
      <c r="N70" t="s">
        <v>38</v>
      </c>
      <c r="O70">
        <v>20</v>
      </c>
      <c r="Q70">
        <v>0</v>
      </c>
      <c r="R70" t="s">
        <v>157</v>
      </c>
      <c r="S70" t="s">
        <v>157</v>
      </c>
      <c r="T70">
        <v>81</v>
      </c>
      <c r="U70" t="s">
        <v>53</v>
      </c>
      <c r="V70" t="s">
        <v>233</v>
      </c>
      <c r="W70">
        <f>IF(Table13[[#This Row],[toss_winner]]=Table13[[#This Row],[match_winner]],1,0)</f>
        <v>1</v>
      </c>
      <c r="X70" t="str">
        <f>IF(Table13[[#This Row],[toss_winner]]=Table13[[#This Row],[match_winner]],"Toss Winner Won","Toss Winner Lost")</f>
        <v>Toss Winner Won</v>
      </c>
      <c r="Y70" t="str">
        <f>IF(Table13[[#This Row],[toss_decision]]="Bat","Bat First","Bowl First")</f>
        <v>Bat First</v>
      </c>
      <c r="Z70" s="1" t="str">
        <f>IF(Table13[[#This Row],[match_winner]]=Table13[[#This Row],[team1]],"Team1 Win","Team2 Win")</f>
        <v>Team2 Win</v>
      </c>
      <c r="AA70" s="1" t="str">
        <f>IF(Table13[[#This Row],[toss_winner]]=Table13[[#This Row],[match_winner]],Table13[[#This Row],[venue]],"No Advantage")</f>
        <v>Mullanpur</v>
      </c>
    </row>
    <row r="71" spans="1:27" x14ac:dyDescent="0.3">
      <c r="A71">
        <v>73</v>
      </c>
      <c r="B71" t="s">
        <v>234</v>
      </c>
      <c r="C71" t="s">
        <v>261</v>
      </c>
      <c r="D71" t="s">
        <v>51</v>
      </c>
      <c r="E71" t="s">
        <v>38</v>
      </c>
      <c r="F71" t="s">
        <v>229</v>
      </c>
      <c r="G71" t="s">
        <v>51</v>
      </c>
      <c r="H71" t="s">
        <v>26</v>
      </c>
      <c r="I71">
        <v>203</v>
      </c>
      <c r="J71">
        <v>6</v>
      </c>
      <c r="K71">
        <v>207</v>
      </c>
      <c r="L71">
        <v>5</v>
      </c>
      <c r="M71" t="s">
        <v>27</v>
      </c>
      <c r="N71" t="s">
        <v>51</v>
      </c>
      <c r="P71">
        <v>5</v>
      </c>
      <c r="Q71">
        <v>6</v>
      </c>
      <c r="R71" t="s">
        <v>52</v>
      </c>
      <c r="S71" t="s">
        <v>52</v>
      </c>
      <c r="T71">
        <v>87</v>
      </c>
      <c r="U71" t="s">
        <v>235</v>
      </c>
      <c r="V71" t="s">
        <v>236</v>
      </c>
      <c r="W71">
        <f>IF(Table13[[#This Row],[toss_winner]]=Table13[[#This Row],[match_winner]],1,0)</f>
        <v>1</v>
      </c>
      <c r="X71" t="str">
        <f>IF(Table13[[#This Row],[toss_winner]]=Table13[[#This Row],[match_winner]],"Toss Winner Won","Toss Winner Lost")</f>
        <v>Toss Winner Won</v>
      </c>
      <c r="Y71" t="str">
        <f>IF(Table13[[#This Row],[toss_decision]]="Bat","Bat First","Bowl First")</f>
        <v>Bowl First</v>
      </c>
      <c r="Z71" s="1" t="str">
        <f>IF(Table13[[#This Row],[match_winner]]=Table13[[#This Row],[team1]],"Team1 Win","Team2 Win")</f>
        <v>Team1 Win</v>
      </c>
      <c r="AA71" s="1" t="str">
        <f>IF(Table13[[#This Row],[toss_winner]]=Table13[[#This Row],[match_winner]],Table13[[#This Row],[venue]],"No Advantage")</f>
        <v>Ahmedabad</v>
      </c>
    </row>
    <row r="72" spans="1:27" x14ac:dyDescent="0.3">
      <c r="A72">
        <v>74</v>
      </c>
      <c r="B72" t="s">
        <v>237</v>
      </c>
      <c r="C72" t="s">
        <v>261</v>
      </c>
      <c r="D72" t="s">
        <v>24</v>
      </c>
      <c r="E72" t="s">
        <v>51</v>
      </c>
      <c r="F72" t="s">
        <v>238</v>
      </c>
      <c r="G72" t="s">
        <v>51</v>
      </c>
      <c r="H72" t="s">
        <v>26</v>
      </c>
      <c r="I72">
        <v>190</v>
      </c>
      <c r="J72">
        <v>9</v>
      </c>
      <c r="K72">
        <v>184</v>
      </c>
      <c r="L72">
        <v>7</v>
      </c>
      <c r="M72" t="s">
        <v>27</v>
      </c>
      <c r="N72" t="s">
        <v>24</v>
      </c>
      <c r="O72">
        <v>6</v>
      </c>
      <c r="Q72">
        <v>0</v>
      </c>
      <c r="R72" t="s">
        <v>28</v>
      </c>
      <c r="S72" t="s">
        <v>239</v>
      </c>
      <c r="T72">
        <v>61</v>
      </c>
      <c r="U72" t="s">
        <v>83</v>
      </c>
      <c r="V72" t="s">
        <v>240</v>
      </c>
      <c r="W72">
        <f>IF(Table13[[#This Row],[toss_winner]]=Table13[[#This Row],[match_winner]],1,0)</f>
        <v>0</v>
      </c>
      <c r="X72" t="str">
        <f>IF(Table13[[#This Row],[toss_winner]]=Table13[[#This Row],[match_winner]],"Toss Winner Won","Toss Winner Lost")</f>
        <v>Toss Winner Lost</v>
      </c>
      <c r="Y72" t="str">
        <f>IF(Table13[[#This Row],[toss_decision]]="Bat","Bat First","Bowl First")</f>
        <v>Bowl First</v>
      </c>
      <c r="Z72" s="1" t="str">
        <f>IF(Table13[[#This Row],[match_winner]]=Table13[[#This Row],[team1]],"Team1 Win","Team2 Win")</f>
        <v>Team1 Win</v>
      </c>
      <c r="AA72" s="1" t="str">
        <f>IF(Table13[[#This Row],[toss_winner]]=Table13[[#This Row],[match_winner]],Table13[[#This Row],[venue]],"No Advantage")</f>
        <v>No Advantage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BB1A-5DB4-44DD-A003-AF054A102498}">
  <dimension ref="A1:C14"/>
  <sheetViews>
    <sheetView workbookViewId="0">
      <selection activeCell="C14" sqref="C14"/>
    </sheetView>
  </sheetViews>
  <sheetFormatPr defaultRowHeight="14.4" x14ac:dyDescent="0.3"/>
  <cols>
    <col min="2" max="2" width="28.6640625" bestFit="1" customWidth="1"/>
    <col min="3" max="3" width="14.5546875" bestFit="1" customWidth="1"/>
  </cols>
  <sheetData>
    <row r="1" spans="1:3" x14ac:dyDescent="0.3">
      <c r="A1" t="s">
        <v>241</v>
      </c>
      <c r="B1" t="s">
        <v>242</v>
      </c>
      <c r="C1" t="s">
        <v>243</v>
      </c>
    </row>
    <row r="2" spans="1:3" x14ac:dyDescent="0.3">
      <c r="A2">
        <v>1</v>
      </c>
      <c r="B2" t="s">
        <v>244</v>
      </c>
      <c r="C2" t="s">
        <v>245</v>
      </c>
    </row>
    <row r="3" spans="1:3" x14ac:dyDescent="0.3">
      <c r="A3">
        <v>2</v>
      </c>
      <c r="B3" t="s">
        <v>247</v>
      </c>
      <c r="C3" t="s">
        <v>246</v>
      </c>
    </row>
    <row r="4" spans="1:3" x14ac:dyDescent="0.3">
      <c r="A4">
        <v>3</v>
      </c>
      <c r="B4" t="s">
        <v>249</v>
      </c>
      <c r="C4" t="s">
        <v>248</v>
      </c>
    </row>
    <row r="5" spans="1:3" x14ac:dyDescent="0.3">
      <c r="A5">
        <v>4</v>
      </c>
      <c r="B5" t="s">
        <v>250</v>
      </c>
      <c r="C5" t="s">
        <v>251</v>
      </c>
    </row>
    <row r="6" spans="1:3" x14ac:dyDescent="0.3">
      <c r="A6">
        <v>5</v>
      </c>
      <c r="B6" t="s">
        <v>252</v>
      </c>
      <c r="C6" t="s">
        <v>253</v>
      </c>
    </row>
    <row r="7" spans="1:3" x14ac:dyDescent="0.3">
      <c r="A7">
        <v>6</v>
      </c>
      <c r="B7" t="s">
        <v>254</v>
      </c>
      <c r="C7" t="s">
        <v>255</v>
      </c>
    </row>
    <row r="8" spans="1:3" x14ac:dyDescent="0.3">
      <c r="A8">
        <v>7</v>
      </c>
      <c r="B8" t="s">
        <v>256</v>
      </c>
      <c r="C8" t="s">
        <v>257</v>
      </c>
    </row>
    <row r="9" spans="1:3" x14ac:dyDescent="0.3">
      <c r="A9">
        <v>8</v>
      </c>
      <c r="B9" t="s">
        <v>258</v>
      </c>
      <c r="C9" t="s">
        <v>259</v>
      </c>
    </row>
    <row r="10" spans="1:3" x14ac:dyDescent="0.3">
      <c r="A10">
        <v>9</v>
      </c>
      <c r="B10" t="s">
        <v>260</v>
      </c>
      <c r="C10" t="s">
        <v>261</v>
      </c>
    </row>
    <row r="11" spans="1:3" x14ac:dyDescent="0.3">
      <c r="A11">
        <v>10</v>
      </c>
      <c r="B11" t="s">
        <v>262</v>
      </c>
      <c r="C11" t="s">
        <v>263</v>
      </c>
    </row>
    <row r="12" spans="1:3" x14ac:dyDescent="0.3">
      <c r="A12">
        <v>11</v>
      </c>
      <c r="B12" t="s">
        <v>264</v>
      </c>
      <c r="C12" t="s">
        <v>265</v>
      </c>
    </row>
    <row r="13" spans="1:3" x14ac:dyDescent="0.3">
      <c r="A13">
        <v>12</v>
      </c>
      <c r="B13" t="s">
        <v>266</v>
      </c>
      <c r="C13" t="s">
        <v>267</v>
      </c>
    </row>
    <row r="14" spans="1:3" x14ac:dyDescent="0.3">
      <c r="A14">
        <v>13</v>
      </c>
      <c r="B14" t="s">
        <v>268</v>
      </c>
      <c r="C14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 - 2025</vt:lpstr>
      <vt:lpstr>Matches</vt:lpstr>
      <vt:lpstr>Grounds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(pg) Surya Yuvarajan</cp:lastModifiedBy>
  <dcterms:created xsi:type="dcterms:W3CDTF">2026-03-30T10:31:09Z</dcterms:created>
  <dcterms:modified xsi:type="dcterms:W3CDTF">2026-03-30T11:09:37Z</dcterms:modified>
</cp:coreProperties>
</file>